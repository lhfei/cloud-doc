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2"/>
  <workbookPr codeName="ThisWorkbook" hidePivotFieldList="1" refreshAllConnections="1"/>
  <mc:AlternateContent xmlns:mc="http://schemas.openxmlformats.org/markup-compatibility/2006">
    <mc:Choice Requires="x15">
      <x15ac:absPath xmlns:x15ac="http://schemas.microsoft.com/office/spreadsheetml/2010/11/ac" url="C:\Users\admin\Desktop\en-GB\"/>
    </mc:Choice>
  </mc:AlternateContent>
  <bookViews>
    <workbookView xWindow="-120" yWindow="-120" windowWidth="28830" windowHeight="16110" xr2:uid="{00000000-000D-0000-FFFF-FFFF00000000}"/>
  </bookViews>
  <sheets>
    <sheet name="START" sheetId="3" r:id="rId1"/>
    <sheet name="MARKETING BUDGET PLAN" sheetId="1" r:id="rId2"/>
    <sheet name="CATEGORY CHART" sheetId="2" r:id="rId3"/>
  </sheets>
  <definedNames>
    <definedName name="EventCosts">'MARKETING BUDGET PLAN'!$D$5</definedName>
    <definedName name="NumberOfAttendees">'MARKETING BUDGET PLAN'!$D$4</definedName>
    <definedName name="_xlnm.Print_Titles" localSheetId="1">'MARKETING BUDGET PLAN'!$10:$10</definedName>
    <definedName name="Slicer_Primary_Category">#N/A</definedName>
  </definedNames>
  <calcPr calcId="191029"/>
  <pivotCaches>
    <pivotCache cacheId="3" r:id="rId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7" i="1" l="1"/>
  <c r="F24" i="1"/>
  <c r="F12" i="1"/>
  <c r="F36" i="1" l="1"/>
  <c r="F61" i="1" l="1"/>
  <c r="F60" i="1"/>
  <c r="F59" i="1"/>
  <c r="F58" i="1"/>
  <c r="F57" i="1"/>
  <c r="F56" i="1"/>
  <c r="F55" i="1"/>
  <c r="F54" i="1"/>
  <c r="F53" i="1"/>
  <c r="F52" i="1"/>
  <c r="F51" i="1"/>
  <c r="F50" i="1"/>
  <c r="F49" i="1"/>
  <c r="F48" i="1"/>
  <c r="F47" i="1"/>
  <c r="F46" i="1"/>
  <c r="F45" i="1"/>
  <c r="F44" i="1"/>
  <c r="F43" i="1"/>
  <c r="F42" i="1"/>
  <c r="F41" i="1"/>
  <c r="F40" i="1"/>
  <c r="F39" i="1"/>
  <c r="F38" i="1"/>
  <c r="F35" i="1"/>
  <c r="F34" i="1"/>
  <c r="F33" i="1"/>
  <c r="F32" i="1"/>
  <c r="F31" i="1"/>
  <c r="F30" i="1"/>
  <c r="F29" i="1"/>
  <c r="F28" i="1"/>
  <c r="F27" i="1"/>
  <c r="F26" i="1"/>
  <c r="F25" i="1"/>
  <c r="F23" i="1"/>
  <c r="F22" i="1"/>
  <c r="F21" i="1"/>
  <c r="F20" i="1"/>
  <c r="F19" i="1"/>
  <c r="F18" i="1"/>
  <c r="F17" i="1"/>
  <c r="F16" i="1"/>
  <c r="F15" i="1"/>
  <c r="F14" i="1"/>
  <c r="F13" i="1"/>
  <c r="F11" i="1"/>
  <c r="D8" i="1" l="1"/>
  <c r="D5" i="1"/>
  <c r="D6" i="1" s="1"/>
  <c r="D7" i="1"/>
</calcChain>
</file>

<file path=xl/sharedStrings.xml><?xml version="1.0" encoding="utf-8"?>
<sst xmlns="http://schemas.openxmlformats.org/spreadsheetml/2006/main" count="158" uniqueCount="94">
  <si>
    <t>About the template</t>
  </si>
  <si>
    <t>Create a Marketing budget plan and Category chart in this workbook.</t>
  </si>
  <si>
    <t>Enter categories, quantities and costs in table in Marketing budget plan worksheet. Event costs and Estimated marketing grand total are auto-calculated.</t>
  </si>
  <si>
    <t>Clustered column chart is auto updated in Category chart worksheet.</t>
  </si>
  <si>
    <t>Note: </t>
  </si>
  <si>
    <t>Additional instructions have been provided in column A in MARKETING BUDGET PLAN and CATEGORY CHART worksheets. This text has been intentionally hidden. To remove text, select column A, then select DELETE. To unhide text, select column A, then change font colour.</t>
  </si>
  <si>
    <t>To learn more about table, press SHIFT and then F10 within a table, select the TABLE option, then select ALTERNATIVE TEXT. For PivotTables, press SHIFT and then F10 within a table, select PIVOTTABLE OPTIONS, then select ALT TEXT tab.</t>
  </si>
  <si>
    <t>Create a Marketing Budget Plan in this worksheet. Helpful instructions on how to use this worksheet are in the cells in this column. Arrow down to get started.</t>
  </si>
  <si>
    <t>Title of this workbook is in cell to the right.</t>
  </si>
  <si>
    <t>Slicer to filter data table by Primary category is in cell E3.</t>
  </si>
  <si>
    <t>Enter Number of attendees in cell D4.</t>
  </si>
  <si>
    <t>Event Costs are auto-calculated in cell D5.</t>
  </si>
  <si>
    <t>Event Price per person is auto-calculated in cell D6.</t>
  </si>
  <si>
    <t>Estimated marketing grand total is auto-calculated in cell D7.</t>
  </si>
  <si>
    <t>Subtotal is auto-calculated in cell D8. Next instruction is in cell A10.</t>
  </si>
  <si>
    <t>Enter details in Data table starting in cell to the right.</t>
  </si>
  <si>
    <t>MARKETING BUDGET PLAN</t>
  </si>
  <si>
    <t>NUMBER OF ATTENDEES</t>
  </si>
  <si>
    <t>EVENT COSTS</t>
  </si>
  <si>
    <t>EVENT PRICE per PERSON</t>
  </si>
  <si>
    <t>ESTIMATED MARKETING GRAND TOTAL</t>
  </si>
  <si>
    <t>SUBTOTAL</t>
  </si>
  <si>
    <t>Primary Category</t>
  </si>
  <si>
    <t>Research</t>
  </si>
  <si>
    <t>Communications</t>
  </si>
  <si>
    <t>Networking</t>
  </si>
  <si>
    <t>Event</t>
  </si>
  <si>
    <t>Audio/Visual services</t>
  </si>
  <si>
    <t>Additional costs</t>
  </si>
  <si>
    <t>Giveaways</t>
  </si>
  <si>
    <t>Promotions</t>
  </si>
  <si>
    <t>Advertising</t>
  </si>
  <si>
    <t>Public relations</t>
  </si>
  <si>
    <t>Secondary category</t>
  </si>
  <si>
    <t>Research firm fees</t>
  </si>
  <si>
    <t>Web research</t>
  </si>
  <si>
    <t>Independent research</t>
  </si>
  <si>
    <t>Other research</t>
  </si>
  <si>
    <t>Promotional brochures</t>
  </si>
  <si>
    <t>Television</t>
  </si>
  <si>
    <t>Radio</t>
  </si>
  <si>
    <t>Web</t>
  </si>
  <si>
    <t>Memberships</t>
  </si>
  <si>
    <t>Affiliations</t>
  </si>
  <si>
    <t>Subscriptions</t>
  </si>
  <si>
    <t>Number of attendees</t>
  </si>
  <si>
    <t>Meal (breakfast, lunch or dinner)</t>
  </si>
  <si>
    <t>Food</t>
  </si>
  <si>
    <t>Tax (10%)</t>
  </si>
  <si>
    <t>Food and drink gratuity (20%)</t>
  </si>
  <si>
    <t>Valet services</t>
  </si>
  <si>
    <t>Entertainment 1</t>
  </si>
  <si>
    <t>Entertainment 2</t>
  </si>
  <si>
    <t>Other services</t>
  </si>
  <si>
    <t>Basic PA system and podium</t>
  </si>
  <si>
    <t>Screen</t>
  </si>
  <si>
    <t>XGA data/video projector rental</t>
  </si>
  <si>
    <t>Wireless mouse</t>
  </si>
  <si>
    <t>Power strips</t>
  </si>
  <si>
    <t>Extension cords</t>
  </si>
  <si>
    <t>Lavalier microphone</t>
  </si>
  <si>
    <t>Labour and AV technicians</t>
  </si>
  <si>
    <t>Tax (8.8%)</t>
  </si>
  <si>
    <t>Invitation 
(printing and postage costs)</t>
  </si>
  <si>
    <t>Time &amp; Expense (T&amp;E)</t>
  </si>
  <si>
    <t>Company staff T&amp;E</t>
  </si>
  <si>
    <t>Customer testimonial T&amp;E</t>
  </si>
  <si>
    <t>Giveaway no. 1</t>
  </si>
  <si>
    <t>Giveaway no. 2</t>
  </si>
  <si>
    <t>Product giveaways</t>
  </si>
  <si>
    <t>Product discounts</t>
  </si>
  <si>
    <t>Special offers</t>
  </si>
  <si>
    <t>Brochures (development and production)</t>
  </si>
  <si>
    <t>Mailings</t>
  </si>
  <si>
    <t>Postcards</t>
  </si>
  <si>
    <t>Newspapers</t>
  </si>
  <si>
    <t>Billboards</t>
  </si>
  <si>
    <t>Bus sides</t>
  </si>
  <si>
    <t>Charity events</t>
  </si>
  <si>
    <t>Employee promotions</t>
  </si>
  <si>
    <t>Sponsorships</t>
  </si>
  <si>
    <t>Estimated quantity</t>
  </si>
  <si>
    <t>Slicer to filter data table by Primary category is in this cell.</t>
  </si>
  <si>
    <t>Estimated cost per unit</t>
  </si>
  <si>
    <t>Estimated subtotal</t>
  </si>
  <si>
    <t>Notes</t>
  </si>
  <si>
    <t>Provided by venue (usually)</t>
  </si>
  <si>
    <t>&lt;Number of persons onsite&gt;</t>
  </si>
  <si>
    <t>&lt;Giveaway item description&gt;</t>
  </si>
  <si>
    <t>PivotTable and category chart are in this worksheet. Helpful instructions on how to use this worksheet are in the cells in this column. Arrow down to get started.</t>
  </si>
  <si>
    <t>A summary PivotTable showing primary categories and their subtotals starts in cell C4. Next instruction is in cell A8.</t>
  </si>
  <si>
    <t>Column PivotChart showing primary categories and their estimated subtotals is in cell at right.</t>
  </si>
  <si>
    <t xml:space="preserve"> Column PivotChart showing primary categories and their estimated subtotals is in this cell.</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</si>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</sst>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8" formatCode="&quot;£&quot;#,##0.00;[Red]\-&quot;£&quot;#,##0.00"/>
    <numFmt numFmtId="42" formatCode="_-&quot;£&quot;* #,##0_-;\-&quot;£&quot;* #,##0_-;_-&quot;£&quot;* &quot;-&quot;_-;_-@_-"/>
    <numFmt numFmtId="44" formatCode="_-&quot;£&quot;* #,##0.00_-;\-&quot;£&quot;* #,##0.00_-;_-&quot;£&quot;* &quot;-&quot;??_-;_-@_-"/>
    <numFmt numFmtId="164" formatCode="_(* #,##0_);_(* \(#,##0\);_(* &quot;-&quot;_);_(@_)"/>
    <numFmt numFmtId="165" formatCode="_(* #,##0.00_);_(* \(#,##0.00\);_(* &quot;-&quot;??_);_(@_)"/>
    <numFmt numFmtId="168" formatCode="&quot;£&quot;#,##0.00"/>
  </numFmts>
  <fonts count="37" x14ac:knownFonts="1">
    <font>
      <sz val="10"/>
      <color theme="0"/>
      <name val="Arial"/>
      <family val="2"/>
      <scheme val="minor"/>
    </font>
    <font>
      <sz val="11"/>
      <color theme="1"/>
      <name val="Arial"/>
      <family val="2"/>
      <scheme val="minor"/>
    </font>
    <font>
      <sz val="11"/>
      <color theme="1"/>
      <name val="Arial"/>
      <family val="2"/>
      <scheme val="minor"/>
    </font>
    <font>
      <sz val="14"/>
      <color theme="1" tint="0.24994659260841701"/>
      <name val="Arial Black"/>
      <family val="2"/>
      <scheme val="major"/>
    </font>
    <font>
      <sz val="11"/>
      <color theme="3"/>
      <name val="Arial Black"/>
      <family val="2"/>
      <scheme val="major"/>
    </font>
    <font>
      <sz val="24"/>
      <color theme="3" tint="-0.24994659260841701"/>
      <name val="Arial Black"/>
      <family val="2"/>
      <scheme val="major"/>
    </font>
    <font>
      <sz val="18"/>
      <color theme="9" tint="-0.499984740745262"/>
      <name val="Arial Black"/>
      <family val="2"/>
      <scheme val="major"/>
    </font>
    <font>
      <sz val="10"/>
      <color theme="1" tint="0.24994659260841701"/>
      <name val="Arial"/>
      <family val="2"/>
      <scheme val="minor"/>
    </font>
    <font>
      <b/>
      <sz val="12"/>
      <color theme="0"/>
      <name val="Arial"/>
      <family val="2"/>
      <scheme val="minor"/>
    </font>
    <font>
      <sz val="10"/>
      <color theme="1"/>
      <name val="Arial"/>
      <family val="2"/>
      <scheme val="minor"/>
    </font>
    <font>
      <b/>
      <sz val="10"/>
      <color theme="1"/>
      <name val="Arial"/>
      <family val="2"/>
      <scheme val="minor"/>
    </font>
    <font>
      <sz val="11"/>
      <color theme="3"/>
      <name val="Arial"/>
      <family val="2"/>
      <scheme val="minor"/>
    </font>
    <font>
      <sz val="24"/>
      <color theme="0"/>
      <name val="Arial Black"/>
      <family val="2"/>
      <scheme val="major"/>
    </font>
    <font>
      <sz val="24"/>
      <color theme="0"/>
      <name val="Arial"/>
      <family val="2"/>
      <scheme val="minor"/>
    </font>
    <font>
      <sz val="14"/>
      <color theme="3"/>
      <name val="Arial"/>
      <family val="2"/>
      <scheme val="minor"/>
    </font>
    <font>
      <b/>
      <sz val="18"/>
      <color theme="3"/>
      <name val="Arial"/>
      <family val="2"/>
      <scheme val="minor"/>
    </font>
    <font>
      <sz val="11"/>
      <color theme="0"/>
      <name val="Arial"/>
      <family val="2"/>
      <scheme val="minor"/>
    </font>
    <font>
      <sz val="10"/>
      <color theme="9" tint="0.79998168889431442"/>
      <name val="Arial"/>
      <family val="2"/>
      <scheme val="minor"/>
    </font>
    <font>
      <sz val="16"/>
      <color theme="0"/>
      <name val="Arial"/>
      <family val="2"/>
    </font>
    <font>
      <sz val="11"/>
      <color theme="0"/>
      <name val="Calibri"/>
      <family val="2"/>
    </font>
    <font>
      <b/>
      <sz val="11"/>
      <color theme="0"/>
      <name val="Calibri"/>
      <family val="2"/>
    </font>
    <font>
      <sz val="11"/>
      <color theme="3"/>
      <name val="Calibri"/>
      <family val="2"/>
    </font>
    <font>
      <sz val="10"/>
      <color theme="3"/>
      <name val="Arial"/>
      <family val="2"/>
      <scheme val="minor"/>
    </font>
    <font>
      <sz val="10"/>
      <color theme="0"/>
      <name val="Arial"/>
      <family val="2"/>
      <scheme val="minor"/>
    </font>
    <font>
      <sz val="18"/>
      <color theme="3"/>
      <name val="Arial Black"/>
      <family val="2"/>
      <scheme val="maj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sz val="10"/>
      <color theme="0"/>
      <name val="Arial"/>
      <scheme val="minor"/>
    </font>
  </fonts>
  <fills count="41">
    <fill>
      <patternFill patternType="none"/>
    </fill>
    <fill>
      <patternFill patternType="gray125"/>
    </fill>
    <fill>
      <patternFill patternType="solid">
        <fgColor theme="4" tint="-0.249977111117893"/>
        <bgColor indexed="64"/>
      </patternFill>
    </fill>
    <fill>
      <patternFill patternType="solid">
        <fgColor theme="5" tint="0.79998168889431442"/>
        <bgColor indexed="64"/>
      </patternFill>
    </fill>
    <fill>
      <patternFill patternType="solid">
        <fgColor theme="5"/>
        <bgColor indexed="64"/>
      </patternFill>
    </fill>
    <fill>
      <patternFill patternType="solid">
        <fgColor theme="3"/>
        <bgColor indexed="64"/>
      </patternFill>
    </fill>
    <fill>
      <patternFill patternType="solid">
        <fgColor theme="0"/>
        <bgColor indexed="64"/>
      </patternFill>
    </fill>
    <fill>
      <patternFill patternType="solid">
        <fgColor theme="5" tint="0.39997558519241921"/>
        <bgColor indexed="64"/>
      </patternFill>
    </fill>
    <fill>
      <patternFill patternType="solid">
        <fgColor theme="8"/>
        <bgColor indexed="64"/>
      </patternFill>
    </fill>
    <fill>
      <patternFill patternType="solid">
        <fgColor theme="8"/>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9" tint="-0.499984740745262"/>
      </bottom>
      <diagonal/>
    </border>
    <border>
      <left/>
      <right/>
      <top style="medium">
        <color theme="9"/>
      </top>
      <bottom/>
      <diagonal/>
    </border>
    <border>
      <left/>
      <right/>
      <top style="thick">
        <color theme="3"/>
      </top>
      <bottom style="thick">
        <color theme="3"/>
      </bottom>
      <diagonal/>
    </border>
    <border>
      <left/>
      <right/>
      <top/>
      <bottom style="thick">
        <color theme="3"/>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5" borderId="0"/>
    <xf numFmtId="0" fontId="5" fillId="0" borderId="1" applyNumberFormat="0" applyFill="0" applyAlignment="0" applyProtection="0"/>
    <xf numFmtId="0" fontId="6" fillId="0" borderId="2" applyNumberFormat="0" applyFill="0" applyAlignment="0" applyProtection="0"/>
    <xf numFmtId="0" fontId="3" fillId="0" borderId="0" applyNumberFormat="0" applyFill="0" applyAlignment="0" applyProtection="0"/>
    <xf numFmtId="0" fontId="4" fillId="0" borderId="0" applyNumberFormat="0" applyFill="0" applyBorder="0" applyAlignment="0" applyProtection="0"/>
    <xf numFmtId="0" fontId="16" fillId="9" borderId="0" applyNumberFormat="0" applyBorder="0" applyAlignment="0" applyProtection="0"/>
    <xf numFmtId="165" fontId="23" fillId="0" borderId="0" applyFont="0" applyFill="0" applyBorder="0" applyAlignment="0" applyProtection="0"/>
    <xf numFmtId="164" fontId="23" fillId="0" borderId="0" applyFont="0" applyFill="0" applyBorder="0" applyAlignment="0" applyProtection="0"/>
    <xf numFmtId="44" fontId="23" fillId="0" borderId="0" applyFont="0" applyFill="0" applyBorder="0" applyAlignment="0" applyProtection="0"/>
    <xf numFmtId="42" fontId="23" fillId="0" borderId="0" applyFont="0" applyFill="0" applyBorder="0" applyAlignment="0" applyProtection="0"/>
    <xf numFmtId="9" fontId="23" fillId="0" borderId="0" applyFont="0" applyFill="0" applyBorder="0" applyAlignment="0" applyProtection="0"/>
    <xf numFmtId="0" fontId="24" fillId="0" borderId="0" applyNumberFormat="0" applyFill="0" applyBorder="0" applyAlignment="0" applyProtection="0"/>
    <xf numFmtId="0" fontId="25" fillId="11" borderId="0" applyNumberFormat="0" applyBorder="0" applyAlignment="0" applyProtection="0"/>
    <xf numFmtId="0" fontId="26" fillId="12" borderId="0" applyNumberFormat="0" applyBorder="0" applyAlignment="0" applyProtection="0"/>
    <xf numFmtId="0" fontId="27" fillId="13" borderId="0" applyNumberFormat="0" applyBorder="0" applyAlignment="0" applyProtection="0"/>
    <xf numFmtId="0" fontId="28" fillId="14" borderId="5" applyNumberFormat="0" applyAlignment="0" applyProtection="0"/>
    <xf numFmtId="0" fontId="29" fillId="15" borderId="6" applyNumberFormat="0" applyAlignment="0" applyProtection="0"/>
    <xf numFmtId="0" fontId="30" fillId="15" borderId="5" applyNumberFormat="0" applyAlignment="0" applyProtection="0"/>
    <xf numFmtId="0" fontId="31" fillId="0" borderId="7" applyNumberFormat="0" applyFill="0" applyAlignment="0" applyProtection="0"/>
    <xf numFmtId="0" fontId="32" fillId="16" borderId="8" applyNumberFormat="0" applyAlignment="0" applyProtection="0"/>
    <xf numFmtId="0" fontId="33" fillId="0" borderId="0" applyNumberFormat="0" applyFill="0" applyBorder="0" applyAlignment="0" applyProtection="0"/>
    <xf numFmtId="0" fontId="23" fillId="17" borderId="9" applyNumberFormat="0" applyFont="0" applyAlignment="0" applyProtection="0"/>
    <xf numFmtId="0" fontId="34" fillId="0" borderId="0" applyNumberFormat="0" applyFill="0" applyBorder="0" applyAlignment="0" applyProtection="0"/>
    <xf numFmtId="0" fontId="35" fillId="0" borderId="10" applyNumberFormat="0" applyFill="0" applyAlignment="0" applyProtection="0"/>
    <xf numFmtId="0" fontId="16"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6"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6"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6"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6"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cellStyleXfs>
  <cellXfs count="61">
    <xf numFmtId="0" fontId="0" fillId="5" borderId="0" xfId="0"/>
    <xf numFmtId="0" fontId="2" fillId="5" borderId="0" xfId="0" applyFont="1"/>
    <xf numFmtId="0" fontId="0" fillId="5" borderId="0" xfId="0" applyFont="1"/>
    <xf numFmtId="0" fontId="7" fillId="5" borderId="0" xfId="0" applyFont="1"/>
    <xf numFmtId="0" fontId="7" fillId="5" borderId="0" xfId="0" applyFont="1" applyAlignment="1">
      <alignment wrapText="1"/>
    </xf>
    <xf numFmtId="0" fontId="8" fillId="2" borderId="0" xfId="0" applyFont="1" applyFill="1" applyAlignment="1">
      <alignment horizontal="left" vertical="center" indent="1"/>
    </xf>
    <xf numFmtId="0" fontId="8" fillId="2" borderId="0" xfId="0" applyFont="1" applyFill="1" applyAlignment="1">
      <alignment horizontal="right" vertical="center" indent="1"/>
    </xf>
    <xf numFmtId="0" fontId="8" fillId="8" borderId="0" xfId="0" applyFont="1" applyFill="1" applyAlignment="1">
      <alignment horizontal="left" vertical="center" indent="1"/>
    </xf>
    <xf numFmtId="0" fontId="8" fillId="8" borderId="0" xfId="0" applyFont="1" applyFill="1" applyAlignment="1">
      <alignment horizontal="right" vertical="center" indent="1"/>
    </xf>
    <xf numFmtId="0" fontId="2" fillId="5" borderId="0" xfId="0" applyFont="1" applyAlignment="1">
      <alignment horizontal="left" indent="1"/>
    </xf>
    <xf numFmtId="0" fontId="13" fillId="5" borderId="0" xfId="1" applyFont="1" applyFill="1" applyBorder="1" applyAlignment="1">
      <alignment horizontal="left" vertical="center" indent="1"/>
    </xf>
    <xf numFmtId="0" fontId="11" fillId="4" borderId="0" xfId="4" applyNumberFormat="1" applyFont="1" applyFill="1" applyAlignment="1">
      <alignment horizontal="left" indent="1"/>
    </xf>
    <xf numFmtId="0" fontId="15" fillId="3" borderId="2" xfId="2" applyFont="1" applyFill="1" applyAlignment="1">
      <alignment horizontal="left" wrapText="1" indent="1"/>
    </xf>
    <xf numFmtId="0" fontId="0" fillId="5" borderId="0" xfId="0" applyFont="1" applyBorder="1"/>
    <xf numFmtId="0" fontId="16" fillId="9" borderId="0" xfId="5" applyAlignment="1">
      <alignment wrapText="1"/>
    </xf>
    <xf numFmtId="0" fontId="10" fillId="7" borderId="0" xfId="0" applyFont="1" applyFill="1" applyBorder="1" applyAlignment="1">
      <alignment horizontal="left" vertical="center" indent="1"/>
    </xf>
    <xf numFmtId="0" fontId="0" fillId="5" borderId="0" xfId="0" applyAlignment="1">
      <alignment vertical="center"/>
    </xf>
    <xf numFmtId="0" fontId="7" fillId="5" borderId="0" xfId="0" applyFont="1" applyAlignment="1">
      <alignment vertical="center"/>
    </xf>
    <xf numFmtId="0" fontId="0" fillId="5" borderId="0" xfId="0" applyFont="1" applyAlignment="1">
      <alignment vertical="center"/>
    </xf>
    <xf numFmtId="0" fontId="15" fillId="3" borderId="2" xfId="2" applyFont="1" applyFill="1" applyAlignment="1">
      <alignment horizontal="left" vertical="center" wrapText="1" indent="1"/>
    </xf>
    <xf numFmtId="0" fontId="12" fillId="5" borderId="0" xfId="1" applyFont="1" applyFill="1" applyBorder="1" applyAlignment="1">
      <alignment horizontal="left" vertical="center"/>
    </xf>
    <xf numFmtId="0" fontId="13" fillId="5" borderId="0" xfId="1" applyFont="1" applyFill="1" applyBorder="1" applyAlignment="1">
      <alignment horizontal="left" vertical="center"/>
    </xf>
    <xf numFmtId="0" fontId="2" fillId="5" borderId="0" xfId="0" applyFont="1" applyBorder="1" applyAlignment="1">
      <alignment vertical="center"/>
    </xf>
    <xf numFmtId="0" fontId="18" fillId="5" borderId="0" xfId="0" applyFont="1" applyFill="1" applyAlignment="1">
      <alignment horizontal="center" vertical="center"/>
    </xf>
    <xf numFmtId="0" fontId="19" fillId="5" borderId="0" xfId="0" applyFont="1" applyAlignment="1">
      <alignment vertical="center" wrapText="1"/>
    </xf>
    <xf numFmtId="0" fontId="20" fillId="5" borderId="0" xfId="0" applyFont="1" applyAlignment="1">
      <alignment vertical="center" wrapText="1"/>
    </xf>
    <xf numFmtId="0" fontId="21" fillId="5" borderId="0" xfId="0" applyFont="1" applyAlignment="1">
      <alignment vertical="center" wrapText="1"/>
    </xf>
    <xf numFmtId="0" fontId="22" fillId="5" borderId="0" xfId="0" applyFont="1" applyAlignment="1">
      <alignment wrapText="1"/>
    </xf>
    <xf numFmtId="0" fontId="11" fillId="5" borderId="0" xfId="0" applyFont="1" applyAlignment="1">
      <alignment wrapText="1"/>
    </xf>
    <xf numFmtId="0" fontId="9" fillId="3" borderId="3" xfId="0" applyFont="1" applyFill="1" applyBorder="1" applyAlignment="1">
      <alignment horizontal="left" vertical="center" wrapText="1" indent="1"/>
    </xf>
    <xf numFmtId="3" fontId="9" fillId="3" borderId="3" xfId="0" applyNumberFormat="1" applyFont="1" applyFill="1" applyBorder="1" applyAlignment="1">
      <alignment horizontal="right" vertical="center" indent="2"/>
    </xf>
    <xf numFmtId="0" fontId="9" fillId="3" borderId="3" xfId="0" applyFont="1" applyFill="1" applyBorder="1" applyAlignment="1">
      <alignment horizontal="left" vertical="center" wrapText="1"/>
    </xf>
    <xf numFmtId="0" fontId="9" fillId="6" borderId="3" xfId="0" applyFont="1" applyFill="1" applyBorder="1" applyAlignment="1">
      <alignment horizontal="left" vertical="center" wrapText="1" indent="1"/>
    </xf>
    <xf numFmtId="3" fontId="9" fillId="6" borderId="3" xfId="0" applyNumberFormat="1" applyFont="1" applyFill="1" applyBorder="1" applyAlignment="1">
      <alignment horizontal="right" vertical="center" indent="2"/>
    </xf>
    <xf numFmtId="0" fontId="9" fillId="6" borderId="3" xfId="0" applyFont="1" applyFill="1" applyBorder="1" applyAlignment="1">
      <alignment horizontal="left" vertical="center" wrapText="1"/>
    </xf>
    <xf numFmtId="0" fontId="10" fillId="7" borderId="4" xfId="0" applyFont="1" applyFill="1" applyBorder="1" applyAlignment="1">
      <alignment horizontal="left" vertical="center" wrapText="1" indent="1"/>
    </xf>
    <xf numFmtId="0" fontId="9" fillId="3" borderId="4" xfId="0" applyFont="1" applyFill="1" applyBorder="1" applyAlignment="1">
      <alignment horizontal="left" vertical="center" wrapText="1" indent="1"/>
    </xf>
    <xf numFmtId="3" fontId="9" fillId="3" borderId="4" xfId="0" applyNumberFormat="1" applyFont="1" applyFill="1" applyBorder="1" applyAlignment="1">
      <alignment horizontal="right" vertical="center" indent="2"/>
    </xf>
    <xf numFmtId="0" fontId="9" fillId="3" borderId="4" xfId="0" applyFont="1" applyFill="1" applyBorder="1" applyAlignment="1">
      <alignment horizontal="left" vertical="center" wrapText="1"/>
    </xf>
    <xf numFmtId="0" fontId="10" fillId="3" borderId="3" xfId="0" applyFont="1" applyFill="1" applyBorder="1" applyAlignment="1">
      <alignment horizontal="left" vertical="center" wrapText="1" indent="1"/>
    </xf>
    <xf numFmtId="0" fontId="10" fillId="7" borderId="3" xfId="0" applyFont="1" applyFill="1" applyBorder="1" applyAlignment="1">
      <alignment horizontal="left" vertical="center" wrapText="1" indent="1"/>
    </xf>
    <xf numFmtId="0" fontId="0" fillId="3" borderId="0" xfId="0" applyFont="1" applyFill="1" applyBorder="1"/>
    <xf numFmtId="0" fontId="0" fillId="10" borderId="0" xfId="0" applyFont="1" applyFill="1" applyBorder="1"/>
    <xf numFmtId="0" fontId="12" fillId="5" borderId="0" xfId="1" applyFont="1" applyFill="1" applyBorder="1" applyAlignment="1">
      <alignment horizontal="left" vertical="top" indent="1"/>
    </xf>
    <xf numFmtId="168" fontId="9" fillId="3" borderId="4" xfId="0" applyNumberFormat="1" applyFont="1" applyFill="1" applyBorder="1" applyAlignment="1">
      <alignment horizontal="right" vertical="center" indent="2"/>
    </xf>
    <xf numFmtId="168" fontId="9" fillId="6" borderId="3" xfId="0" applyNumberFormat="1" applyFont="1" applyFill="1" applyBorder="1" applyAlignment="1">
      <alignment horizontal="right" vertical="center" indent="2"/>
    </xf>
    <xf numFmtId="168" fontId="9" fillId="3" borderId="3" xfId="0" applyNumberFormat="1" applyFont="1" applyFill="1" applyBorder="1" applyAlignment="1">
      <alignment horizontal="right" vertical="center" indent="2"/>
    </xf>
    <xf numFmtId="168" fontId="10" fillId="3" borderId="0" xfId="0" applyNumberFormat="1" applyFont="1" applyFill="1" applyBorder="1" applyAlignment="1">
      <alignment horizontal="right" vertical="center"/>
    </xf>
    <xf numFmtId="0" fontId="17" fillId="3" borderId="0" xfId="0" applyFont="1" applyFill="1" applyBorder="1" applyAlignment="1">
      <alignment horizontal="center"/>
    </xf>
    <xf numFmtId="0" fontId="14" fillId="3" borderId="0" xfId="3" applyFont="1" applyFill="1" applyAlignment="1">
      <alignment horizontal="left" vertical="center" wrapText="1" indent="1"/>
    </xf>
    <xf numFmtId="0" fontId="14" fillId="3" borderId="0" xfId="3" applyFont="1" applyFill="1" applyAlignment="1">
      <alignment horizontal="left" wrapText="1" indent="1"/>
    </xf>
    <xf numFmtId="0" fontId="14" fillId="7" borderId="0" xfId="3" applyFont="1" applyFill="1" applyAlignment="1">
      <alignment horizontal="left" wrapText="1" indent="1"/>
    </xf>
    <xf numFmtId="0" fontId="0" fillId="5" borderId="0" xfId="0" applyFont="1" applyAlignment="1">
      <alignment horizontal="center" vertical="center"/>
    </xf>
    <xf numFmtId="0" fontId="36" fillId="5" borderId="0" xfId="0" applyFont="1" applyBorder="1" applyAlignment="1">
      <alignment horizontal="center" vertical="top"/>
    </xf>
    <xf numFmtId="0" fontId="36" fillId="5" borderId="0" xfId="0" applyFont="1" applyBorder="1" applyAlignment="1">
      <alignment horizontal="center" vertical="top" wrapText="1"/>
    </xf>
    <xf numFmtId="0" fontId="36" fillId="2" borderId="0" xfId="0" applyFont="1" applyFill="1" applyBorder="1" applyAlignment="1">
      <alignment horizontal="center" vertical="top"/>
    </xf>
    <xf numFmtId="0" fontId="36" fillId="2" borderId="0" xfId="0" applyFont="1" applyFill="1" applyBorder="1" applyAlignment="1">
      <alignment horizontal="center" vertical="top" wrapText="1"/>
    </xf>
    <xf numFmtId="0" fontId="36" fillId="2" borderId="0" xfId="0" applyFont="1" applyFill="1" applyBorder="1" applyAlignment="1">
      <alignment horizontal="left" vertical="center" indent="1"/>
    </xf>
    <xf numFmtId="8" fontId="11" fillId="3" borderId="0" xfId="4" applyNumberFormat="1" applyFont="1" applyFill="1" applyAlignment="1">
      <alignment horizontal="left" indent="1"/>
    </xf>
    <xf numFmtId="8" fontId="11" fillId="3" borderId="0" xfId="4" applyNumberFormat="1" applyFont="1" applyFill="1" applyAlignment="1">
      <alignment horizontal="left" vertical="center" indent="1"/>
    </xf>
    <xf numFmtId="8" fontId="15" fillId="3" borderId="2" xfId="2" applyNumberFormat="1" applyFont="1" applyFill="1" applyAlignment="1">
      <alignment horizontal="left" wrapText="1" indent="1"/>
    </xf>
  </cellXfs>
  <cellStyles count="47">
    <cellStyle name="20% - Accent1" xfId="25" builtinId="30" customBuiltin="1"/>
    <cellStyle name="20% - Accent2" xfId="29" builtinId="34" customBuiltin="1"/>
    <cellStyle name="20% - Accent3" xfId="33" builtinId="38" customBuiltin="1"/>
    <cellStyle name="20% - Accent4" xfId="37" builtinId="42" customBuiltin="1"/>
    <cellStyle name="20% - Accent5" xfId="40" builtinId="46" customBuiltin="1"/>
    <cellStyle name="20% - Accent6" xfId="44"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1" builtinId="47" customBuiltin="1"/>
    <cellStyle name="40% - Accent6" xfId="45"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2" builtinId="48" customBuiltin="1"/>
    <cellStyle name="60% - Accent6" xfId="46" builtinId="52" customBuiltin="1"/>
    <cellStyle name="Accent1" xfId="24" builtinId="29" customBuiltin="1"/>
    <cellStyle name="Accent2" xfId="28" builtinId="33" customBuiltin="1"/>
    <cellStyle name="Accent3" xfId="32" builtinId="37" customBuiltin="1"/>
    <cellStyle name="Accent4" xfId="36" builtinId="41" customBuiltin="1"/>
    <cellStyle name="Accent5" xfId="5" builtinId="45" customBuiltin="1"/>
    <cellStyle name="Accent6" xfId="43" builtinId="49" customBuiltin="1"/>
    <cellStyle name="Bad" xfId="13" builtinId="27" customBuiltin="1"/>
    <cellStyle name="Calculation" xfId="17" builtinId="22" customBuiltin="1"/>
    <cellStyle name="Check Cell" xfId="19" builtinId="23" customBuiltin="1"/>
    <cellStyle name="Comma" xfId="6" builtinId="3" customBuiltin="1"/>
    <cellStyle name="Comma [0]" xfId="7" builtinId="6" customBuiltin="1"/>
    <cellStyle name="Currency" xfId="8" builtinId="4" customBuiltin="1"/>
    <cellStyle name="Currency [0]" xfId="9" builtinId="7" customBuiltin="1"/>
    <cellStyle name="Explanatory Text" xfId="22" builtinId="53" customBuiltin="1"/>
    <cellStyle name="Good" xfId="12"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15" builtinId="20" customBuiltin="1"/>
    <cellStyle name="Linked Cell" xfId="18" builtinId="24" customBuiltin="1"/>
    <cellStyle name="Neutral" xfId="14" builtinId="28" customBuiltin="1"/>
    <cellStyle name="Normal" xfId="0" builtinId="0" customBuiltin="1"/>
    <cellStyle name="Note" xfId="21" builtinId="10" customBuiltin="1"/>
    <cellStyle name="Output" xfId="16" builtinId="21" customBuiltin="1"/>
    <cellStyle name="Percent" xfId="10" builtinId="5" customBuiltin="1"/>
    <cellStyle name="Title" xfId="11" builtinId="15" customBuiltin="1"/>
    <cellStyle name="Total" xfId="23" builtinId="25" customBuiltin="1"/>
    <cellStyle name="Warning Text" xfId="20" builtinId="11" customBuiltin="1"/>
  </cellStyles>
  <dxfs count="204">
    <dxf>
      <font>
        <strike val="0"/>
        <outline val="0"/>
        <shadow val="0"/>
        <u val="none"/>
        <vertAlign val="baseline"/>
        <sz val="10"/>
        <color theme="1"/>
        <name val="Arial"/>
        <scheme val="minor"/>
      </font>
      <alignment horizontal="left" vertical="center" textRotation="0" wrapText="1" indent="0" justifyLastLine="0" shrinkToFit="0" readingOrder="0"/>
      <border diagonalUp="0" diagonalDown="0">
        <left/>
        <right/>
        <top style="thick">
          <color theme="3"/>
        </top>
        <bottom style="thick">
          <color theme="3"/>
        </bottom>
      </border>
    </dxf>
    <dxf>
      <font>
        <b val="0"/>
        <i val="0"/>
        <strike val="0"/>
        <condense val="0"/>
        <extend val="0"/>
        <outline val="0"/>
        <shadow val="0"/>
        <u val="none"/>
        <vertAlign val="baseline"/>
        <sz val="10"/>
        <color theme="1"/>
        <name val="Arial"/>
        <family val="2"/>
        <scheme val="minor"/>
      </font>
      <alignment horizontal="left" vertical="center" textRotation="0" wrapText="1" indent="0" justifyLastLine="0" shrinkToFit="0" readingOrder="0"/>
      <border diagonalUp="0" diagonalDown="0" outline="0">
        <left/>
        <right/>
        <top/>
        <bottom/>
      </border>
    </dxf>
    <dxf>
      <font>
        <strike val="0"/>
        <outline val="0"/>
        <shadow val="0"/>
        <u val="none"/>
        <vertAlign val="baseline"/>
        <sz val="10"/>
        <color theme="1"/>
        <name val="Arial"/>
        <scheme val="minor"/>
      </font>
      <numFmt numFmtId="168" formatCode="&quot;£&quot;#,##0.00"/>
      <alignment horizontal="right" vertical="center" textRotation="0" wrapText="0" indent="2" justifyLastLine="0" shrinkToFit="0" readingOrder="0"/>
      <border diagonalUp="0" diagonalDown="0">
        <left/>
        <right/>
        <top style="thick">
          <color theme="3"/>
        </top>
        <bottom style="thick">
          <color theme="3"/>
        </bottom>
      </border>
    </dxf>
    <dxf>
      <font>
        <b val="0"/>
        <i val="0"/>
        <strike val="0"/>
        <condense val="0"/>
        <extend val="0"/>
        <outline val="0"/>
        <shadow val="0"/>
        <u val="none"/>
        <vertAlign val="baseline"/>
        <sz val="10"/>
        <color theme="1"/>
        <name val="Arial"/>
        <family val="2"/>
        <scheme val="minor"/>
      </font>
      <alignment horizontal="right" vertical="center" textRotation="0" wrapText="0" indent="2" justifyLastLine="0" shrinkToFit="0" readingOrder="0"/>
      <border diagonalUp="0" diagonalDown="0" outline="0">
        <left/>
        <right/>
        <top/>
        <bottom/>
      </border>
    </dxf>
    <dxf>
      <font>
        <strike val="0"/>
        <outline val="0"/>
        <shadow val="0"/>
        <u val="none"/>
        <vertAlign val="baseline"/>
        <sz val="10"/>
        <color theme="1"/>
        <name val="Arial"/>
        <scheme val="minor"/>
      </font>
      <numFmt numFmtId="168" formatCode="&quot;£&quot;#,##0.00"/>
      <alignment horizontal="right" vertical="center" textRotation="0" wrapText="0" indent="2" justifyLastLine="0" shrinkToFit="0" readingOrder="0"/>
      <border diagonalUp="0" diagonalDown="0">
        <left/>
        <right/>
        <top style="thick">
          <color theme="3"/>
        </top>
        <bottom style="thick">
          <color theme="3"/>
        </bottom>
      </border>
    </dxf>
    <dxf>
      <font>
        <b val="0"/>
        <i val="0"/>
        <strike val="0"/>
        <condense val="0"/>
        <extend val="0"/>
        <outline val="0"/>
        <shadow val="0"/>
        <u val="none"/>
        <vertAlign val="baseline"/>
        <sz val="10"/>
        <color theme="1"/>
        <name val="Arial"/>
        <family val="2"/>
        <scheme val="minor"/>
      </font>
      <alignment horizontal="right" vertical="center" textRotation="0" wrapText="0" indent="2" justifyLastLine="0" shrinkToFit="0" readingOrder="0"/>
      <border diagonalUp="0" diagonalDown="0" outline="0">
        <left/>
        <right/>
        <top/>
        <bottom/>
      </border>
    </dxf>
    <dxf>
      <font>
        <strike val="0"/>
        <outline val="0"/>
        <shadow val="0"/>
        <u val="none"/>
        <vertAlign val="baseline"/>
        <sz val="10"/>
        <color theme="1"/>
        <name val="Arial"/>
        <scheme val="minor"/>
      </font>
      <numFmt numFmtId="3" formatCode="#,##0"/>
      <alignment horizontal="right" vertical="center" textRotation="0" wrapText="0" indent="2" justifyLastLine="0" shrinkToFit="0" readingOrder="0"/>
      <border diagonalUp="0" diagonalDown="0">
        <left/>
        <right/>
        <top style="thick">
          <color theme="3"/>
        </top>
        <bottom style="thick">
          <color theme="3"/>
        </bottom>
      </border>
    </dxf>
    <dxf>
      <font>
        <b val="0"/>
        <i val="0"/>
        <strike val="0"/>
        <condense val="0"/>
        <extend val="0"/>
        <outline val="0"/>
        <shadow val="0"/>
        <u val="none"/>
        <vertAlign val="baseline"/>
        <sz val="10"/>
        <color theme="1"/>
        <name val="Arial"/>
        <family val="2"/>
        <scheme val="minor"/>
      </font>
      <alignment horizontal="right" vertical="center" textRotation="0" wrapText="0" indent="2" justifyLastLine="0" shrinkToFit="0" readingOrder="0"/>
      <border diagonalUp="0" diagonalDown="0" outline="0">
        <left/>
        <right/>
        <top/>
        <bottom/>
      </border>
    </dxf>
    <dxf>
      <font>
        <strike val="0"/>
        <outline val="0"/>
        <shadow val="0"/>
        <u val="none"/>
        <vertAlign val="baseline"/>
        <sz val="10"/>
        <color theme="1"/>
        <name val="Arial"/>
        <scheme val="minor"/>
      </font>
      <alignment horizontal="left" vertical="center" textRotation="0" wrapText="1" indent="1" justifyLastLine="0" shrinkToFit="0" readingOrder="0"/>
      <border diagonalUp="0" diagonalDown="0">
        <left/>
        <right/>
        <top style="thick">
          <color theme="3"/>
        </top>
        <bottom style="thick">
          <color theme="3"/>
        </bottom>
      </border>
    </dxf>
    <dxf>
      <font>
        <b val="0"/>
        <i val="0"/>
        <strike val="0"/>
        <condense val="0"/>
        <extend val="0"/>
        <outline val="0"/>
        <shadow val="0"/>
        <u val="none"/>
        <vertAlign val="baseline"/>
        <sz val="10"/>
        <color theme="1"/>
        <name val="Arial"/>
        <family val="2"/>
        <scheme val="minor"/>
      </font>
      <alignment horizontal="left" vertical="center" textRotation="0" wrapText="1" indent="1" justifyLastLine="0" shrinkToFit="0" readingOrder="0"/>
      <border diagonalUp="0" diagonalDown="0" outline="0">
        <left/>
        <right/>
        <top/>
        <bottom/>
      </border>
    </dxf>
    <dxf>
      <font>
        <b/>
        <strike val="0"/>
        <outline val="0"/>
        <shadow val="0"/>
        <u val="none"/>
        <vertAlign val="baseline"/>
        <sz val="10"/>
        <color theme="1"/>
        <name val="Arial"/>
        <scheme val="minor"/>
      </font>
      <alignment horizontal="left" vertical="center" textRotation="0" wrapText="1" indent="1" justifyLastLine="0" shrinkToFit="0" readingOrder="0"/>
      <border diagonalUp="0" diagonalDown="0">
        <left/>
        <right/>
        <top style="thick">
          <color theme="3"/>
        </top>
        <bottom style="thick">
          <color theme="3"/>
        </bottom>
        <vertical/>
        <horizontal style="thick">
          <color theme="3"/>
        </horizontal>
      </border>
    </dxf>
    <dxf>
      <font>
        <b/>
        <i val="0"/>
        <strike val="0"/>
        <condense val="0"/>
        <extend val="0"/>
        <outline val="0"/>
        <shadow val="0"/>
        <u val="none"/>
        <vertAlign val="baseline"/>
        <sz val="10"/>
        <color theme="1"/>
        <name val="Arial"/>
        <family val="2"/>
        <scheme val="minor"/>
      </font>
      <alignment horizontal="left" vertical="center" textRotation="0" wrapText="1" indent="1" justifyLastLine="0" shrinkToFit="0" readingOrder="0"/>
      <border diagonalUp="0" diagonalDown="0" outline="0">
        <left/>
        <right/>
        <top/>
        <bottom/>
      </border>
    </dxf>
    <dxf>
      <alignment horizontal="left" vertical="center" textRotation="0" wrapText="0" indent="1" justifyLastLine="0" shrinkToFit="0" readingOrder="0"/>
    </dxf>
    <dxf>
      <font>
        <name val="Arial"/>
        <scheme val="minor"/>
      </font>
    </dxf>
    <dxf>
      <font>
        <name val="Arial"/>
        <scheme val="minor"/>
      </font>
    </dxf>
    <dxf>
      <font>
        <name val="Arial"/>
        <scheme val="minor"/>
      </font>
    </dxf>
    <dxf>
      <font>
        <name val="Arial"/>
        <scheme val="minor"/>
      </font>
    </dxf>
    <dxf>
      <font>
        <name val="Arial"/>
        <scheme val="minor"/>
      </font>
    </dxf>
    <dxf>
      <font>
        <name val="Arial"/>
        <scheme val="minor"/>
      </font>
    </dxf>
    <dxf>
      <alignment wrapText="1" readingOrder="0"/>
    </dxf>
    <dxf>
      <alignment wrapText="1" readingOrder="0"/>
    </dxf>
    <dxf>
      <alignment wrapText="1" readingOrder="0"/>
    </dxf>
    <dxf>
      <border>
        <bottom/>
      </border>
    </dxf>
    <dxf>
      <border>
        <bottom/>
      </border>
    </dxf>
    <dxf>
      <border>
        <bottom/>
      </border>
    </dxf>
    <dxf>
      <border>
        <bottom/>
      </border>
    </dxf>
    <dxf>
      <border>
        <bottom/>
      </border>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right"/>
    </dxf>
    <dxf>
      <alignment horizontal="right"/>
    </dxf>
    <dxf>
      <alignment horizontal="right"/>
    </dxf>
    <dxf>
      <alignment horizontal="right"/>
    </dxf>
    <dxf>
      <alignment horizontal="right"/>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top"/>
    </dxf>
    <dxf>
      <alignment vertical="top"/>
    </dxf>
    <dxf>
      <alignment vertical="top"/>
    </dxf>
    <dxf>
      <alignment vertical="top"/>
    </dxf>
    <dxf>
      <alignment vertical="top"/>
    </dxf>
    <dxf>
      <alignment vertical="center"/>
    </dxf>
    <dxf>
      <alignment vertical="center"/>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alignment vertical="center"/>
    </dxf>
    <dxf>
      <alignment vertical="top"/>
    </dxf>
    <dxf>
      <alignment vertical="bottom"/>
    </dxf>
    <dxf>
      <alignment vertical="top"/>
    </dxf>
    <dxf>
      <alignment horizontal="left"/>
    </dxf>
    <dxf>
      <alignment relativeIndent="1"/>
    </dxf>
    <dxf>
      <alignment vertical="top" readingOrder="0"/>
    </dxf>
    <dxf>
      <alignment vertical="top" readingOrder="0"/>
    </dxf>
    <dxf>
      <alignment relativeIndent="1"/>
    </dxf>
    <dxf>
      <alignment horizontal="left"/>
    </dxf>
    <dxf>
      <alignment vertical="top"/>
    </dxf>
    <dxf>
      <alignment vertical="bottom"/>
    </dxf>
    <dxf>
      <alignment vertical="top"/>
    </dxf>
    <dxf>
      <alignment vertical="center"/>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alignment vertical="center"/>
    </dxf>
    <dxf>
      <alignment vertical="center"/>
    </dxf>
    <dxf>
      <alignment vertical="top"/>
    </dxf>
    <dxf>
      <alignment vertical="top"/>
    </dxf>
    <dxf>
      <alignment vertical="top"/>
    </dxf>
    <dxf>
      <alignment vertical="top"/>
    </dxf>
    <dxf>
      <alignment vertical="top"/>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right"/>
    </dxf>
    <dxf>
      <alignment horizontal="right"/>
    </dxf>
    <dxf>
      <alignment horizontal="right"/>
    </dxf>
    <dxf>
      <alignment horizontal="right"/>
    </dxf>
    <dxf>
      <alignment horizontal="right"/>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border>
        <bottom/>
      </border>
    </dxf>
    <dxf>
      <border>
        <bottom/>
      </border>
    </dxf>
    <dxf>
      <border>
        <bottom/>
      </border>
    </dxf>
    <dxf>
      <border>
        <bottom/>
      </border>
    </dxf>
    <dxf>
      <border>
        <bottom/>
      </border>
    </dxf>
    <dxf>
      <alignment wrapText="1" readingOrder="0"/>
    </dxf>
    <dxf>
      <alignment wrapText="1" readingOrder="0"/>
    </dxf>
    <dxf>
      <alignment wrapText="1" readingOrder="0"/>
    </dxf>
    <dxf>
      <font>
        <name val="Arial"/>
        <scheme val="minor"/>
      </font>
    </dxf>
    <dxf>
      <font>
        <name val="Arial"/>
        <scheme val="minor"/>
      </font>
    </dxf>
    <dxf>
      <font>
        <name val="Arial"/>
        <scheme val="minor"/>
      </font>
    </dxf>
    <dxf>
      <font>
        <name val="Arial"/>
        <scheme val="minor"/>
      </font>
    </dxf>
    <dxf>
      <font>
        <name val="Arial"/>
        <scheme val="minor"/>
      </font>
    </dxf>
    <dxf>
      <font>
        <name val="Arial"/>
        <scheme val="minor"/>
      </font>
    </dxf>
    <dxf>
      <fill>
        <patternFill patternType="solid">
          <fgColor theme="0"/>
          <bgColor theme="4" tint="-0.249977111117893"/>
        </patternFill>
      </fill>
    </dxf>
    <dxf>
      <fill>
        <patternFill patternType="solid">
          <fgColor theme="0"/>
          <bgColor theme="4" tint="-0.249977111117893"/>
        </patternFill>
      </fill>
    </dxf>
    <dxf>
      <font>
        <b/>
        <color theme="0"/>
      </font>
      <fill>
        <patternFill patternType="solid">
          <fgColor theme="4" tint="-0.249977111117893"/>
          <bgColor theme="4" tint="-0.249977111117893"/>
        </patternFill>
      </fill>
      <border>
        <left style="medium">
          <color theme="0"/>
        </left>
      </border>
    </dxf>
    <dxf>
      <font>
        <b/>
        <color theme="0"/>
      </font>
      <fill>
        <patternFill patternType="solid">
          <fgColor theme="0"/>
          <bgColor theme="4" tint="-0.249977111117893"/>
        </patternFill>
      </fill>
      <border>
        <right style="medium">
          <color theme="0"/>
        </right>
      </border>
    </dxf>
    <dxf>
      <font>
        <b/>
        <color theme="0"/>
      </font>
      <fill>
        <patternFill patternType="solid">
          <fgColor theme="0"/>
          <bgColor theme="4" tint="-0.499984740745262"/>
        </patternFill>
      </fill>
      <border>
        <top style="medium">
          <color theme="0"/>
        </top>
      </border>
    </dxf>
    <dxf>
      <font>
        <b/>
        <color theme="0"/>
      </font>
      <fill>
        <patternFill patternType="solid">
          <fgColor theme="1"/>
          <bgColor theme="1"/>
        </patternFill>
      </fill>
      <border>
        <bottom style="medium">
          <color theme="0"/>
        </bottom>
      </border>
    </dxf>
    <dxf>
      <font>
        <color theme="0"/>
      </font>
      <fill>
        <patternFill patternType="solid">
          <fgColor theme="5"/>
          <bgColor theme="5"/>
        </patternFill>
      </fill>
      <border>
        <bottom style="thick">
          <color theme="3"/>
        </bottom>
        <horizontal style="thick">
          <color theme="3"/>
        </horizontal>
      </border>
    </dxf>
    <dxf>
      <font>
        <b/>
        <i val="0"/>
        <color theme="3"/>
        <name val="Arial"/>
        <scheme val="minor"/>
      </font>
      <fill>
        <patternFill>
          <bgColor theme="5" tint="0.39994506668294322"/>
        </patternFill>
      </fill>
      <border diagonalUp="0" diagonalDown="0">
        <left/>
        <right/>
        <top/>
        <bottom/>
        <vertical/>
        <horizontal/>
      </border>
    </dxf>
    <dxf>
      <font>
        <color theme="1"/>
        <name val="Arial"/>
        <scheme val="minor"/>
      </font>
      <fill>
        <patternFill patternType="solid">
          <bgColor theme="5" tint="0.79998168889431442"/>
        </patternFill>
      </fill>
      <border diagonalUp="0" diagonalDown="0">
        <left/>
        <right/>
        <top/>
        <bottom/>
        <vertical/>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fill>
        <patternFill patternType="solid">
          <fgColor theme="8" tint="0.79998168889431442"/>
          <bgColor theme="8" tint="0.79998168889431442"/>
        </patternFill>
      </fill>
    </dxf>
    <dxf>
      <font>
        <b/>
        <color theme="1"/>
      </font>
    </dxf>
    <dxf>
      <font>
        <b/>
        <color theme="1"/>
      </font>
      <fill>
        <patternFill patternType="solid">
          <fgColor theme="8" tint="0.59999389629810485"/>
          <bgColor theme="8" tint="0.59999389629810485"/>
        </patternFill>
      </fill>
    </dxf>
    <dxf>
      <font>
        <b/>
        <color theme="1"/>
      </font>
      <border>
        <left style="medium">
          <color theme="8" tint="0.59999389629810485"/>
        </left>
        <right style="medium">
          <color theme="8" tint="0.59999389629810485"/>
        </right>
        <top style="medium">
          <color theme="8" tint="0.59999389629810485"/>
        </top>
        <bottom style="medium">
          <color theme="8" tint="0.59999389629810485"/>
        </bottom>
      </border>
    </dxf>
    <dxf>
      <border>
        <left style="thin">
          <color theme="8" tint="0.39997558519241921"/>
        </left>
        <right style="thin">
          <color theme="8" tint="0.39997558519241921"/>
        </right>
      </border>
    </dxf>
    <dxf>
      <border>
        <top style="thin">
          <color theme="8" tint="0.39997558519241921"/>
        </top>
        <bottom style="thin">
          <color theme="8" tint="0.39997558519241921"/>
        </bottom>
        <horizontal style="thin">
          <color theme="8" tint="0.39997558519241921"/>
        </horizontal>
      </border>
    </dxf>
    <dxf>
      <font>
        <b/>
        <color theme="1"/>
      </font>
      <border>
        <top style="thin">
          <color theme="8" tint="-0.249977111117893"/>
        </top>
        <bottom style="medium">
          <color theme="8" tint="-0.249977111117893"/>
        </bottom>
      </border>
    </dxf>
    <dxf>
      <font>
        <b/>
        <color theme="0"/>
      </font>
      <fill>
        <patternFill patternType="solid">
          <fgColor theme="8"/>
          <bgColor theme="8"/>
        </patternFill>
      </fill>
      <border>
        <top style="medium">
          <color theme="8" tint="-0.249977111117893"/>
        </top>
      </border>
    </dxf>
    <dxf>
      <font>
        <color theme="1"/>
      </font>
      <border diagonalUp="0" diagonalDown="0">
        <left/>
        <right/>
        <top/>
        <bottom/>
        <vertical/>
        <horizontal/>
      </border>
    </dxf>
  </dxfs>
  <tableStyles count="3" defaultTableStyle="TableStyleMedium2" defaultPivotStyle="PivotStyleLight16">
    <tableStyle name="PivotStyleMedium13 2" table="0" count="12" xr9:uid="{00000000-0011-0000-FFFF-FFFF00000000}">
      <tableStyleElement type="wholeTable" dxfId="203"/>
      <tableStyleElement type="headerRow" dxfId="202"/>
      <tableStyleElement type="totalRow" dxfId="201"/>
      <tableStyleElement type="firstRowStripe" dxfId="200"/>
      <tableStyleElement type="firstColumnStripe" dxfId="199"/>
      <tableStyleElement type="firstSubtotalColumn" dxfId="198"/>
      <tableStyleElement type="firstSubtotalRow" dxfId="197"/>
      <tableStyleElement type="secondSubtotalRow" dxfId="196"/>
      <tableStyleElement type="firstRowSubheading" dxfId="195"/>
      <tableStyleElement type="secondRowSubheading" dxfId="194"/>
      <tableStyleElement type="pageFieldLabels" dxfId="193"/>
      <tableStyleElement type="pageFieldValues" dxfId="192"/>
    </tableStyle>
    <tableStyle name="SlicerStyleDark5 2" pivot="0" table="0" count="10" xr9:uid="{00000000-0011-0000-FFFF-FFFF01000000}">
      <tableStyleElement type="wholeTable" dxfId="191"/>
      <tableStyleElement type="headerRow" dxfId="190"/>
    </tableStyle>
    <tableStyle name="TableStyleDark2 2" pivot="0" count="7" xr9:uid="{00000000-0011-0000-FFFF-FFFF02000000}">
      <tableStyleElement type="wholeTable" dxfId="189"/>
      <tableStyleElement type="headerRow" dxfId="188"/>
      <tableStyleElement type="totalRow" dxfId="187"/>
      <tableStyleElement type="firstColumn" dxfId="186"/>
      <tableStyleElement type="lastColumn" dxfId="185"/>
      <tableStyleElement type="firstRowStripe" dxfId="184"/>
      <tableStyleElement type="firstColumnStripe" dxfId="183"/>
    </tableStyle>
  </tableStyles>
  <extLst>
    <ext xmlns:x14="http://schemas.microsoft.com/office/spreadsheetml/2009/9/main" uri="{46F421CA-312F-682f-3DD2-61675219B42D}">
      <x14:dxfs count="8">
        <dxf>
          <font>
            <color rgb="FF000000"/>
          </font>
          <fill>
            <patternFill patternType="solid">
              <fgColor auto="1"/>
              <bgColor theme="5"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5" tint="0.39994506668294322"/>
            </pattern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4"/>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theme="5" tint="0.7999816888943144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5" tint="0.79998168889431442"/>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manualLayout>
          <c:layoutTarget val="inner"/>
          <c:xMode val="edge"/>
          <c:yMode val="edge"/>
          <c:x val="4.8294851092873431E-2"/>
          <c:y val="7.407407407407407E-2"/>
          <c:w val="0.77469250276062218"/>
          <c:h val="0.84731481481481485"/>
        </c:manualLayout>
      </c:layout>
      <c:barChart>
        <c:barDir val="col"/>
        <c:grouping val="clustered"/>
        <c:varyColors val="0"/>
        <c:ser>
          <c:idx val="0"/>
          <c:order val="0"/>
          <c:tx>
            <c:v>Additional costs</c:v>
          </c:tx>
          <c:spPr>
            <a:solidFill>
              <a:schemeClr val="accent1"/>
            </a:solidFill>
            <a:ln>
              <a:noFill/>
            </a:ln>
            <a:effectLst/>
          </c:spPr>
          <c:invertIfNegative val="0"/>
          <c:cat>
            <c:strLit>
              <c:ptCount val="1"/>
              <c:pt idx="0">
                <c:v>Total</c:v>
              </c:pt>
            </c:strLit>
          </c:cat>
          <c:val>
            <c:numLit>
              <c:formatCode>General</c:formatCode>
              <c:ptCount val="1"/>
              <c:pt idx="0">
                <c:v>0</c:v>
              </c:pt>
            </c:numLit>
          </c:val>
          <c:extLst>
            <c:ext xmlns:c16="http://schemas.microsoft.com/office/drawing/2014/chart" uri="{C3380CC4-5D6E-409C-BE32-E72D297353CC}">
              <c16:uniqueId val="{00000000-348D-4A6D-8C1D-35E13DB35DCE}"/>
            </c:ext>
          </c:extLst>
        </c:ser>
        <c:ser>
          <c:idx val="1"/>
          <c:order val="1"/>
          <c:tx>
            <c:v>Advertising</c:v>
          </c:tx>
          <c:spPr>
            <a:solidFill>
              <a:schemeClr val="accent2"/>
            </a:solidFill>
            <a:ln>
              <a:noFill/>
            </a:ln>
            <a:effectLst/>
          </c:spPr>
          <c:invertIfNegative val="0"/>
          <c:cat>
            <c:strLit>
              <c:ptCount val="1"/>
              <c:pt idx="0">
                <c:v>Total</c:v>
              </c:pt>
            </c:strLit>
          </c:cat>
          <c:val>
            <c:numLit>
              <c:formatCode>General</c:formatCode>
              <c:ptCount val="1"/>
              <c:pt idx="0">
                <c:v>7007</c:v>
              </c:pt>
            </c:numLit>
          </c:val>
          <c:extLst>
            <c:ext xmlns:c16="http://schemas.microsoft.com/office/drawing/2014/chart" uri="{C3380CC4-5D6E-409C-BE32-E72D297353CC}">
              <c16:uniqueId val="{00000001-348D-4A6D-8C1D-35E13DB35DCE}"/>
            </c:ext>
          </c:extLst>
        </c:ser>
        <c:ser>
          <c:idx val="2"/>
          <c:order val="2"/>
          <c:tx>
            <c:v>Audio/Visual services</c:v>
          </c:tx>
          <c:spPr>
            <a:solidFill>
              <a:schemeClr val="accent3"/>
            </a:solidFill>
            <a:ln>
              <a:noFill/>
            </a:ln>
            <a:effectLst/>
          </c:spPr>
          <c:invertIfNegative val="0"/>
          <c:cat>
            <c:strLit>
              <c:ptCount val="1"/>
              <c:pt idx="0">
                <c:v>Total</c:v>
              </c:pt>
            </c:strLit>
          </c:cat>
          <c:val>
            <c:numLit>
              <c:formatCode>General</c:formatCode>
              <c:ptCount val="1"/>
              <c:pt idx="0">
                <c:v>357</c:v>
              </c:pt>
            </c:numLit>
          </c:val>
          <c:extLst>
            <c:ext xmlns:c16="http://schemas.microsoft.com/office/drawing/2014/chart" uri="{C3380CC4-5D6E-409C-BE32-E72D297353CC}">
              <c16:uniqueId val="{00000002-348D-4A6D-8C1D-35E13DB35DCE}"/>
            </c:ext>
          </c:extLst>
        </c:ser>
        <c:ser>
          <c:idx val="3"/>
          <c:order val="3"/>
          <c:tx>
            <c:v>Communications</c:v>
          </c:tx>
          <c:spPr>
            <a:solidFill>
              <a:schemeClr val="accent4"/>
            </a:solidFill>
            <a:ln>
              <a:noFill/>
            </a:ln>
            <a:effectLst/>
          </c:spPr>
          <c:invertIfNegative val="0"/>
          <c:cat>
            <c:strLit>
              <c:ptCount val="1"/>
              <c:pt idx="0">
                <c:v>Total</c:v>
              </c:pt>
            </c:strLit>
          </c:cat>
          <c:val>
            <c:numLit>
              <c:formatCode>General</c:formatCode>
              <c:ptCount val="1"/>
              <c:pt idx="0">
                <c:v>25650</c:v>
              </c:pt>
            </c:numLit>
          </c:val>
          <c:extLst>
            <c:ext xmlns:c16="http://schemas.microsoft.com/office/drawing/2014/chart" uri="{C3380CC4-5D6E-409C-BE32-E72D297353CC}">
              <c16:uniqueId val="{00000003-348D-4A6D-8C1D-35E13DB35DCE}"/>
            </c:ext>
          </c:extLst>
        </c:ser>
        <c:ser>
          <c:idx val="4"/>
          <c:order val="4"/>
          <c:tx>
            <c:v>Event</c:v>
          </c:tx>
          <c:spPr>
            <a:solidFill>
              <a:schemeClr val="accent5"/>
            </a:solidFill>
            <a:ln>
              <a:noFill/>
            </a:ln>
            <a:effectLst/>
          </c:spPr>
          <c:invertIfNegative val="0"/>
          <c:cat>
            <c:strLit>
              <c:ptCount val="1"/>
              <c:pt idx="0">
                <c:v>Total</c:v>
              </c:pt>
            </c:strLit>
          </c:cat>
          <c:val>
            <c:numLit>
              <c:formatCode>General</c:formatCode>
              <c:ptCount val="1"/>
              <c:pt idx="0">
                <c:v>2500</c:v>
              </c:pt>
            </c:numLit>
          </c:val>
          <c:extLst>
            <c:ext xmlns:c16="http://schemas.microsoft.com/office/drawing/2014/chart" uri="{C3380CC4-5D6E-409C-BE32-E72D297353CC}">
              <c16:uniqueId val="{00000004-348D-4A6D-8C1D-35E13DB35DCE}"/>
            </c:ext>
          </c:extLst>
        </c:ser>
        <c:ser>
          <c:idx val="5"/>
          <c:order val="5"/>
          <c:tx>
            <c:v>Giveaways</c:v>
          </c:tx>
          <c:spPr>
            <a:solidFill>
              <a:schemeClr val="accent6"/>
            </a:solidFill>
            <a:ln>
              <a:noFill/>
            </a:ln>
            <a:effectLst/>
          </c:spPr>
          <c:invertIfNegative val="0"/>
          <c:cat>
            <c:strLit>
              <c:ptCount val="1"/>
              <c:pt idx="0">
                <c:v>Total</c:v>
              </c:pt>
            </c:strLit>
          </c:cat>
          <c:val>
            <c:numLit>
              <c:formatCode>General</c:formatCode>
              <c:ptCount val="1"/>
              <c:pt idx="0">
                <c:v>375</c:v>
              </c:pt>
            </c:numLit>
          </c:val>
          <c:extLst>
            <c:ext xmlns:c16="http://schemas.microsoft.com/office/drawing/2014/chart" uri="{C3380CC4-5D6E-409C-BE32-E72D297353CC}">
              <c16:uniqueId val="{00000005-348D-4A6D-8C1D-35E13DB35DCE}"/>
            </c:ext>
          </c:extLst>
        </c:ser>
        <c:ser>
          <c:idx val="6"/>
          <c:order val="6"/>
          <c:tx>
            <c:v>Networking</c:v>
          </c:tx>
          <c:spPr>
            <a:solidFill>
              <a:schemeClr val="accent1">
                <a:lumMod val="60000"/>
              </a:schemeClr>
            </a:solidFill>
            <a:ln>
              <a:noFill/>
            </a:ln>
            <a:effectLst/>
          </c:spPr>
          <c:invertIfNegative val="0"/>
          <c:cat>
            <c:strLit>
              <c:ptCount val="1"/>
              <c:pt idx="0">
                <c:v>Total</c:v>
              </c:pt>
            </c:strLit>
          </c:cat>
          <c:val>
            <c:numLit>
              <c:formatCode>General</c:formatCode>
              <c:ptCount val="1"/>
              <c:pt idx="0">
                <c:v>254</c:v>
              </c:pt>
            </c:numLit>
          </c:val>
          <c:extLst>
            <c:ext xmlns:c16="http://schemas.microsoft.com/office/drawing/2014/chart" uri="{C3380CC4-5D6E-409C-BE32-E72D297353CC}">
              <c16:uniqueId val="{00000006-348D-4A6D-8C1D-35E13DB35DCE}"/>
            </c:ext>
          </c:extLst>
        </c:ser>
        <c:ser>
          <c:idx val="7"/>
          <c:order val="7"/>
          <c:tx>
            <c:v>Promotions</c:v>
          </c:tx>
          <c:spPr>
            <a:solidFill>
              <a:schemeClr val="accent2">
                <a:lumMod val="60000"/>
              </a:schemeClr>
            </a:solidFill>
            <a:ln>
              <a:noFill/>
            </a:ln>
            <a:effectLst/>
          </c:spPr>
          <c:invertIfNegative val="0"/>
          <c:cat>
            <c:strLit>
              <c:ptCount val="1"/>
              <c:pt idx="0">
                <c:v>Total</c:v>
              </c:pt>
            </c:strLit>
          </c:cat>
          <c:val>
            <c:numLit>
              <c:formatCode>General</c:formatCode>
              <c:ptCount val="1"/>
              <c:pt idx="0">
                <c:v>1800</c:v>
              </c:pt>
            </c:numLit>
          </c:val>
          <c:extLst>
            <c:ext xmlns:c16="http://schemas.microsoft.com/office/drawing/2014/chart" uri="{C3380CC4-5D6E-409C-BE32-E72D297353CC}">
              <c16:uniqueId val="{00000007-348D-4A6D-8C1D-35E13DB35DCE}"/>
            </c:ext>
          </c:extLst>
        </c:ser>
        <c:ser>
          <c:idx val="8"/>
          <c:order val="8"/>
          <c:tx>
            <c:v>Public relations</c:v>
          </c:tx>
          <c:spPr>
            <a:solidFill>
              <a:schemeClr val="accent3">
                <a:lumMod val="60000"/>
              </a:schemeClr>
            </a:solidFill>
            <a:ln>
              <a:noFill/>
            </a:ln>
            <a:effectLst/>
          </c:spPr>
          <c:invertIfNegative val="0"/>
          <c:cat>
            <c:strLit>
              <c:ptCount val="1"/>
              <c:pt idx="0">
                <c:v>Total</c:v>
              </c:pt>
            </c:strLit>
          </c:cat>
          <c:val>
            <c:numLit>
              <c:formatCode>General</c:formatCode>
              <c:ptCount val="1"/>
              <c:pt idx="0">
                <c:v>3200</c:v>
              </c:pt>
            </c:numLit>
          </c:val>
          <c:extLst>
            <c:ext xmlns:c16="http://schemas.microsoft.com/office/drawing/2014/chart" uri="{C3380CC4-5D6E-409C-BE32-E72D297353CC}">
              <c16:uniqueId val="{00000008-348D-4A6D-8C1D-35E13DB35DCE}"/>
            </c:ext>
          </c:extLst>
        </c:ser>
        <c:ser>
          <c:idx val="9"/>
          <c:order val="9"/>
          <c:tx>
            <c:v>Research</c:v>
          </c:tx>
          <c:spPr>
            <a:solidFill>
              <a:schemeClr val="accent4">
                <a:lumMod val="60000"/>
              </a:schemeClr>
            </a:solidFill>
            <a:ln>
              <a:noFill/>
            </a:ln>
            <a:effectLst/>
          </c:spPr>
          <c:invertIfNegative val="0"/>
          <c:cat>
            <c:strLit>
              <c:ptCount val="1"/>
              <c:pt idx="0">
                <c:v>Total</c:v>
              </c:pt>
            </c:strLit>
          </c:cat>
          <c:val>
            <c:numLit>
              <c:formatCode>General</c:formatCode>
              <c:ptCount val="1"/>
              <c:pt idx="0">
                <c:v>7100</c:v>
              </c:pt>
            </c:numLit>
          </c:val>
          <c:extLst>
            <c:ext xmlns:c16="http://schemas.microsoft.com/office/drawing/2014/chart" uri="{C3380CC4-5D6E-409C-BE32-E72D297353CC}">
              <c16:uniqueId val="{00000009-348D-4A6D-8C1D-35E13DB35DCE}"/>
            </c:ext>
          </c:extLst>
        </c:ser>
        <c:dLbls>
          <c:showLegendKey val="0"/>
          <c:showVal val="0"/>
          <c:showCatName val="0"/>
          <c:showSerName val="0"/>
          <c:showPercent val="0"/>
          <c:showBubbleSize val="0"/>
        </c:dLbls>
        <c:gapWidth val="219"/>
        <c:overlap val="-27"/>
        <c:axId val="235795592"/>
        <c:axId val="235795976"/>
      </c:barChart>
      <c:catAx>
        <c:axId val="235795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35795976"/>
        <c:crosses val="autoZero"/>
        <c:auto val="1"/>
        <c:lblAlgn val="ctr"/>
        <c:lblOffset val="100"/>
        <c:noMultiLvlLbl val="0"/>
      </c:catAx>
      <c:valAx>
        <c:axId val="235795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5592"/>
        <c:crosses val="autoZero"/>
        <c:crossBetween val="between"/>
      </c:valAx>
      <c:spPr>
        <a:noFill/>
        <a:ln>
          <a:noFill/>
        </a:ln>
        <a:effectLst/>
      </c:spPr>
    </c:plotArea>
    <c:legend>
      <c:legendPos val="r"/>
      <c:layout>
        <c:manualLayout>
          <c:xMode val="edge"/>
          <c:yMode val="edge"/>
          <c:x val="0.86744155702581904"/>
          <c:y val="0.21048724708554803"/>
          <c:w val="9.9331605913478074E-2"/>
          <c:h val="0.579025221311703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Body)"/>
              <a:ea typeface="黑体"/>
              <a:cs typeface="黑体"/>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4" l="0.4" r="0.4" t="0.4" header="0.3" footer="0.3"/>
    <c:pageSetup orientation="landscape"/>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695325</xdr:colOff>
      <xdr:row>3</xdr:row>
      <xdr:rowOff>0</xdr:rowOff>
    </xdr:from>
    <xdr:to>
      <xdr:col>6</xdr:col>
      <xdr:colOff>1524000</xdr:colOff>
      <xdr:row>7</xdr:row>
      <xdr:rowOff>180976</xdr:rowOff>
    </xdr:to>
    <mc:AlternateContent xmlns:mc="http://schemas.openxmlformats.org/markup-compatibility/2006" xmlns:sle15="http://schemas.microsoft.com/office/drawing/2012/slicer">
      <mc:Choice Requires="sle15">
        <xdr:graphicFrame macro="">
          <xdr:nvGraphicFramePr>
            <xdr:cNvPr id="7" name="Primary Category" descr="Filter data table by Primary category">
              <a:extLst>
                <a:ext uri="{FF2B5EF4-FFF2-40B4-BE49-F238E27FC236}">
                  <a16:creationId xmlns:a16="http://schemas.microsoft.com/office/drawing/2014/main" id="{1773F89C-E2BA-4D24-BF02-7FD32860ABE3}"/>
                </a:ext>
              </a:extLst>
            </xdr:cNvPr>
            <xdr:cNvGraphicFramePr/>
          </xdr:nvGraphicFramePr>
          <xdr:xfrm>
            <a:off x="0" y="0"/>
            <a:ext cx="0" cy="0"/>
          </xdr:xfrm>
          <a:graphic>
            <a:graphicData uri="http://schemas.microsoft.com/office/drawing/2010/slicer">
              <sle:slicer xmlns:sle="http://schemas.microsoft.com/office/drawing/2010/slicer" name="Primary Category"/>
            </a:graphicData>
          </a:graphic>
        </xdr:graphicFrame>
      </mc:Choice>
      <mc:Fallback xmlns="">
        <xdr:sp macro="" textlink="">
          <xdr:nvSpPr>
            <xdr:cNvPr id="0" name=""/>
            <xdr:cNvSpPr>
              <a:spLocks noTextEdit="1"/>
            </xdr:cNvSpPr>
          </xdr:nvSpPr>
          <xdr:spPr>
            <a:xfrm>
              <a:off x="6257925" y="866775"/>
              <a:ext cx="4438650" cy="1304926"/>
            </a:xfrm>
            <a:prstGeom prst="rect">
              <a:avLst/>
            </a:prstGeom>
            <a:solidFill>
              <a:prstClr val="white"/>
            </a:solidFill>
            <a:ln w="1">
              <a:solidFill>
                <a:prstClr val="green"/>
              </a:solidFill>
            </a:ln>
          </xdr:spPr>
          <xdr:txBody>
            <a:bodyPr vertOverflow="clip" horzOverflow="clip" rtlCol="false"/>
            <a:lstStyle/>
            <a:p>
              <a:pPr rtl="false"/>
              <a:r>
                <a:rPr lang="en-gb"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390525</xdr:colOff>
      <xdr:row>1</xdr:row>
      <xdr:rowOff>523875</xdr:rowOff>
    </xdr:from>
    <xdr:to>
      <xdr:col>4</xdr:col>
      <xdr:colOff>390525</xdr:colOff>
      <xdr:row>8</xdr:row>
      <xdr:rowOff>9225</xdr:rowOff>
    </xdr:to>
    <xdr:cxnSp macro="">
      <xdr:nvCxnSpPr>
        <xdr:cNvPr id="8" name="Straight Connector 7" descr="Vertical border">
          <a:extLst>
            <a:ext uri="{FF2B5EF4-FFF2-40B4-BE49-F238E27FC236}">
              <a16:creationId xmlns:a16="http://schemas.microsoft.com/office/drawing/2014/main" id="{7E863518-FC8E-495C-B9F7-8D35CC2BF70B}"/>
            </a:ext>
          </a:extLst>
        </xdr:cNvPr>
        <xdr:cNvCxnSpPr/>
      </xdr:nvCxnSpPr>
      <xdr:spPr>
        <a:xfrm>
          <a:off x="5953125" y="733425"/>
          <a:ext cx="0" cy="1638000"/>
        </a:xfrm>
        <a:prstGeom prst="line">
          <a:avLst/>
        </a:prstGeom>
        <a:ln w="38100">
          <a:solidFill>
            <a:schemeClr val="tx2"/>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28574</xdr:colOff>
      <xdr:row>7</xdr:row>
      <xdr:rowOff>38099</xdr:rowOff>
    </xdr:from>
    <xdr:to>
      <xdr:col>13</xdr:col>
      <xdr:colOff>0</xdr:colOff>
      <xdr:row>7</xdr:row>
      <xdr:rowOff>3657600</xdr:rowOff>
    </xdr:to>
    <xdr:graphicFrame macro="">
      <xdr:nvGraphicFramePr>
        <xdr:cNvPr id="3" name="Chart 2" descr="Column PivotChart showing primary categories and their estimated subtotals">
          <a:extLst>
            <a:ext uri="{FF2B5EF4-FFF2-40B4-BE49-F238E27FC236}">
              <a16:creationId xmlns:a16="http://schemas.microsoft.com/office/drawing/2014/main" id="{836DA369-FCE6-4542-BF53-B802EB622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3616.402673958335" createdVersion="5" refreshedVersion="6" minRefreshableVersion="3" recordCount="51" xr:uid="{00000000-000A-0000-FFFF-FFFF13000000}">
  <cacheSource type="worksheet">
    <worksheetSource name="Data"/>
  </cacheSource>
  <cacheFields count="6">
    <cacheField name="Primary Category" numFmtId="0">
      <sharedItems containsBlank="1" count="11">
        <s v="Research"/>
        <s v="Communications"/>
        <s v="Networking"/>
        <s v="Event"/>
        <s v="Audio/Visual services"/>
        <s v="Additional costs"/>
        <s v="Giveaways"/>
        <s v="Promotions"/>
        <s v="Advertising"/>
        <s v="Public relations"/>
        <m u="1"/>
      </sharedItems>
    </cacheField>
    <cacheField name="Secondary category" numFmtId="0">
      <sharedItems/>
    </cacheField>
    <cacheField name="Estimated quantity" numFmtId="3">
      <sharedItems containsString="0" containsBlank="1" containsNumber="1" containsInteger="1" minValue="1" maxValue="15000"/>
    </cacheField>
    <cacheField name="Estimated cost per unit" numFmtId="168">
      <sharedItems containsString="0" containsBlank="1" containsNumber="1" minValue="0" maxValue="4000"/>
    </cacheField>
    <cacheField name="Estimated subtotal" numFmtId="168">
      <sharedItems containsSemiMixedTypes="0" containsString="0" containsNumber="1" containsInteger="1" minValue="0" maxValue="20000"/>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Research firm fees"/>
    <n v="2"/>
    <n v="2300"/>
    <n v="4600"/>
    <m/>
  </r>
  <r>
    <x v="0"/>
    <s v="Web research"/>
    <n v="1"/>
    <n v="1100"/>
    <n v="1100"/>
    <m/>
  </r>
  <r>
    <x v="0"/>
    <s v="Independent research"/>
    <n v="3"/>
    <n v="300"/>
    <n v="900"/>
    <m/>
  </r>
  <r>
    <x v="0"/>
    <s v="Other research"/>
    <n v="2"/>
    <n v="250"/>
    <n v="500"/>
    <m/>
  </r>
  <r>
    <x v="1"/>
    <s v="Promotional brochures"/>
    <n v="5000"/>
    <n v="0.15"/>
    <n v="750"/>
    <m/>
  </r>
  <r>
    <x v="1"/>
    <s v="Television"/>
    <n v="5"/>
    <n v="4000"/>
    <n v="20000"/>
    <m/>
  </r>
  <r>
    <x v="1"/>
    <s v="Radio"/>
    <n v="13"/>
    <n v="350"/>
    <n v="4550"/>
    <m/>
  </r>
  <r>
    <x v="1"/>
    <s v="Web"/>
    <n v="1"/>
    <n v="350"/>
    <n v="350"/>
    <m/>
  </r>
  <r>
    <x v="2"/>
    <s v="Networking"/>
    <m/>
    <m/>
    <n v="0"/>
    <m/>
  </r>
  <r>
    <x v="2"/>
    <s v="Memberships"/>
    <n v="3"/>
    <n v="50"/>
    <n v="150"/>
    <m/>
  </r>
  <r>
    <x v="2"/>
    <s v="Affiliations"/>
    <n v="2"/>
    <n v="20"/>
    <n v="40"/>
    <m/>
  </r>
  <r>
    <x v="2"/>
    <s v="Subscriptions"/>
    <n v="2"/>
    <n v="32"/>
    <n v="64"/>
    <m/>
  </r>
  <r>
    <x v="3"/>
    <s v="Number of attendees"/>
    <n v="50"/>
    <m/>
    <n v="0"/>
    <m/>
  </r>
  <r>
    <x v="3"/>
    <s v="Meal (breakfast, lunch or dinner)"/>
    <m/>
    <m/>
    <n v="0"/>
    <m/>
  </r>
  <r>
    <x v="3"/>
    <s v="Food"/>
    <m/>
    <n v="23"/>
    <n v="0"/>
    <m/>
  </r>
  <r>
    <x v="3"/>
    <s v="Tax (10%)"/>
    <m/>
    <n v="2.3000000000000003"/>
    <n v="0"/>
    <m/>
  </r>
  <r>
    <x v="3"/>
    <s v="Food and drink gratuity (20%)"/>
    <m/>
    <n v="5.0600000000000005"/>
    <n v="0"/>
    <m/>
  </r>
  <r>
    <x v="3"/>
    <s v="Valet services"/>
    <n v="1"/>
    <n v="300"/>
    <n v="300"/>
    <m/>
  </r>
  <r>
    <x v="3"/>
    <s v="Entertainment 1"/>
    <n v="1"/>
    <n v="800"/>
    <n v="800"/>
    <m/>
  </r>
  <r>
    <x v="3"/>
    <s v="Entertainment 2"/>
    <n v="1"/>
    <n v="1200"/>
    <n v="1200"/>
    <m/>
  </r>
  <r>
    <x v="3"/>
    <s v="Other services"/>
    <n v="1"/>
    <n v="200"/>
    <n v="200"/>
    <m/>
  </r>
  <r>
    <x v="4"/>
    <s v="Basic PA system and podium"/>
    <n v="1"/>
    <n v="0"/>
    <n v="0"/>
    <s v="Provided by venue (usually)"/>
  </r>
  <r>
    <x v="4"/>
    <s v="Screen"/>
    <n v="1"/>
    <n v="0"/>
    <n v="0"/>
    <s v="Provided by venue (usually)"/>
  </r>
  <r>
    <x v="4"/>
    <s v="XGA data/video projector rental"/>
    <n v="1"/>
    <n v="45"/>
    <n v="45"/>
    <m/>
  </r>
  <r>
    <x v="4"/>
    <s v="Wireless mouse"/>
    <n v="1"/>
    <n v="12"/>
    <n v="12"/>
    <m/>
  </r>
  <r>
    <x v="4"/>
    <s v="Power strips"/>
    <n v="1"/>
    <n v="0"/>
    <n v="0"/>
    <s v="Provided by venue (usually)"/>
  </r>
  <r>
    <x v="4"/>
    <s v="Extension cords"/>
    <n v="1"/>
    <n v="0"/>
    <n v="0"/>
    <s v="Provided by venue (usually)"/>
  </r>
  <r>
    <x v="4"/>
    <s v="Lavalier microphone"/>
    <n v="1"/>
    <n v="0"/>
    <n v="0"/>
    <s v="Provided by venue (usually)"/>
  </r>
  <r>
    <x v="4"/>
    <s v="Labour and AV technicians"/>
    <n v="1"/>
    <n v="300"/>
    <n v="300"/>
    <m/>
  </r>
  <r>
    <x v="4"/>
    <s v="Tax (8.8%)"/>
    <m/>
    <n v="31.415999999999997"/>
    <n v="0"/>
    <m/>
  </r>
  <r>
    <x v="5"/>
    <s v="Invitation _x000a_(printing and postage costs)"/>
    <m/>
    <n v="834"/>
    <n v="0"/>
    <m/>
  </r>
  <r>
    <x v="5"/>
    <s v="Time &amp; Expense (T&amp;E)"/>
    <m/>
    <n v="600"/>
    <n v="0"/>
    <m/>
  </r>
  <r>
    <x v="5"/>
    <s v="Company staff T&amp;E"/>
    <m/>
    <n v="200"/>
    <n v="0"/>
    <s v="&lt;Number of persons onsite&gt;"/>
  </r>
  <r>
    <x v="5"/>
    <s v="Customer testimonial T&amp;E"/>
    <m/>
    <n v="100"/>
    <n v="0"/>
    <m/>
  </r>
  <r>
    <x v="6"/>
    <s v="Giveaway no. 1"/>
    <n v="25"/>
    <n v="10"/>
    <n v="250"/>
    <s v="&lt;Giveaway item description&gt;"/>
  </r>
  <r>
    <x v="6"/>
    <s v="Giveaway no. 2"/>
    <n v="25"/>
    <n v="5"/>
    <n v="125"/>
    <s v="&lt;Giveaway item description&gt;"/>
  </r>
  <r>
    <x v="7"/>
    <s v="Product giveaways"/>
    <n v="50"/>
    <n v="8"/>
    <n v="400"/>
    <m/>
  </r>
  <r>
    <x v="7"/>
    <s v="Product discounts"/>
    <n v="300"/>
    <n v="3"/>
    <n v="900"/>
    <m/>
  </r>
  <r>
    <x v="7"/>
    <s v="Special offers"/>
    <n v="200"/>
    <n v="2.5"/>
    <n v="500"/>
    <m/>
  </r>
  <r>
    <x v="8"/>
    <s v="Brochures (development and production)"/>
    <n v="5000"/>
    <n v="0.15"/>
    <n v="750"/>
    <m/>
  </r>
  <r>
    <x v="8"/>
    <s v="Mailings"/>
    <n v="15000"/>
    <n v="0.04"/>
    <n v="600"/>
    <m/>
  </r>
  <r>
    <x v="8"/>
    <s v="Postcards"/>
    <n v="15000"/>
    <n v="0.03"/>
    <n v="450"/>
    <m/>
  </r>
  <r>
    <x v="8"/>
    <s v="Television"/>
    <n v="2"/>
    <n v="600"/>
    <n v="1200"/>
    <m/>
  </r>
  <r>
    <x v="8"/>
    <s v="Radio"/>
    <n v="4"/>
    <n v="300"/>
    <n v="1200"/>
    <m/>
  </r>
  <r>
    <x v="8"/>
    <s v="Newspapers"/>
    <n v="6"/>
    <n v="220"/>
    <n v="1320"/>
    <m/>
  </r>
  <r>
    <x v="8"/>
    <s v="Billboards"/>
    <n v="2"/>
    <n v="556"/>
    <n v="1112"/>
    <m/>
  </r>
  <r>
    <x v="8"/>
    <s v="Bus sides"/>
    <n v="3"/>
    <n v="125"/>
    <n v="375"/>
    <m/>
  </r>
  <r>
    <x v="9"/>
    <s v="Charity events"/>
    <n v="3"/>
    <n v="200"/>
    <n v="600"/>
    <m/>
  </r>
  <r>
    <x v="9"/>
    <s v="Advertising"/>
    <n v="4"/>
    <n v="200"/>
    <n v="800"/>
    <m/>
  </r>
  <r>
    <x v="9"/>
    <s v="Employee promotions"/>
    <n v="6"/>
    <n v="200"/>
    <n v="1200"/>
    <m/>
  </r>
  <r>
    <x v="9"/>
    <s v="Sponsorships"/>
    <n v="3"/>
    <n v="200"/>
    <n v="6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vtSubtotals" cacheId="3" applyNumberFormats="0" applyBorderFormats="0" applyFontFormats="0" applyPatternFormats="0" applyAlignmentFormats="0" applyWidthHeightFormats="1" dataCaption="Values" updatedVersion="6" minRefreshableVersion="3" itemPrintTitles="1" createdVersion="5" indent="0" compact="0" compactData="0" multipleFieldFilters="0" chartFormat="4">
  <location ref="C4:M5" firstHeaderRow="1" firstDataRow="2" firstDataCol="0"/>
  <pivotFields count="6">
    <pivotField axis="axisCol" compact="0" outline="0" showAll="0">
      <items count="12">
        <item x="5"/>
        <item x="8"/>
        <item x="4"/>
        <item x="1"/>
        <item x="3"/>
        <item x="6"/>
        <item x="2"/>
        <item x="7"/>
        <item x="9"/>
        <item x="0"/>
        <item m="1" x="10"/>
        <item t="default"/>
      </items>
    </pivotField>
    <pivotField compact="0" outline="0" showAll="0"/>
    <pivotField compact="0" outline="0" showAll="0"/>
    <pivotField compact="0" outline="0" showAll="0"/>
    <pivotField name="Estimated Subtotal2" compact="0" outline="0" showAll="0"/>
    <pivotField compact="0" outline="0" showAll="0"/>
  </pivotFields>
  <rowItems count="1">
    <i/>
  </rowItems>
  <colFields count="1">
    <field x="0"/>
  </colFields>
  <colItems count="11">
    <i>
      <x/>
    </i>
    <i>
      <x v="1"/>
    </i>
    <i>
      <x v="2"/>
    </i>
    <i>
      <x v="3"/>
    </i>
    <i>
      <x v="4"/>
    </i>
    <i>
      <x v="5"/>
    </i>
    <i>
      <x v="6"/>
    </i>
    <i>
      <x v="7"/>
    </i>
    <i>
      <x v="8"/>
    </i>
    <i>
      <x v="9"/>
    </i>
    <i t="grand">
      <x/>
    </i>
  </colItems>
  <formats count="85">
    <format dxfId="182">
      <pivotArea type="all" dataOnly="0" outline="0" fieldPosition="0"/>
    </format>
    <format dxfId="181">
      <pivotArea outline="0" collapsedLevelsAreSubtotals="1" fieldPosition="0"/>
    </format>
    <format dxfId="180">
      <pivotArea field="0" type="button" dataOnly="0" labelOnly="1" outline="0" axis="axisCol" fieldPosition="0"/>
    </format>
    <format dxfId="179">
      <pivotArea dataOnly="0" labelOnly="1" outline="0" axis="axisValues" fieldPosition="0"/>
    </format>
    <format dxfId="178">
      <pivotArea dataOnly="0" labelOnly="1" fieldPosition="0">
        <references count="1">
          <reference field="0" count="0"/>
        </references>
      </pivotArea>
    </format>
    <format dxfId="177">
      <pivotArea dataOnly="0" labelOnly="1" grandRow="1" outline="0" fieldPosition="0"/>
    </format>
    <format dxfId="176">
      <pivotArea type="origin" dataOnly="0" labelOnly="1" outline="0" fieldPosition="0"/>
    </format>
    <format dxfId="175">
      <pivotArea dataOnly="0" labelOnly="1" outline="0" fieldPosition="0">
        <references count="1">
          <reference field="0" count="0"/>
        </references>
      </pivotArea>
    </format>
    <format dxfId="174">
      <pivotArea dataOnly="0" labelOnly="1" grandCol="1" outline="0" fieldPosition="0"/>
    </format>
    <format dxfId="173">
      <pivotArea type="all" dataOnly="0" outline="0" fieldPosition="0"/>
    </format>
    <format dxfId="172">
      <pivotArea field="0" type="button" dataOnly="0" labelOnly="1" outline="0" axis="axisCol" fieldPosition="0"/>
    </format>
    <format dxfId="171">
      <pivotArea type="topRight" dataOnly="0" labelOnly="1" outline="0" fieldPosition="0"/>
    </format>
    <format dxfId="170">
      <pivotArea dataOnly="0" labelOnly="1" outline="0" fieldPosition="0">
        <references count="1">
          <reference field="0" count="0"/>
        </references>
      </pivotArea>
    </format>
    <format dxfId="169">
      <pivotArea dataOnly="0" labelOnly="1" grandCol="1" outline="0" fieldPosition="0"/>
    </format>
    <format dxfId="168">
      <pivotArea type="all" dataOnly="0" outline="0" fieldPosition="0"/>
    </format>
    <format dxfId="167">
      <pivotArea field="0" type="button" dataOnly="0" labelOnly="1" outline="0" axis="axisCol" fieldPosition="0"/>
    </format>
    <format dxfId="166">
      <pivotArea type="topRight" dataOnly="0" labelOnly="1" outline="0" fieldPosition="0"/>
    </format>
    <format dxfId="165">
      <pivotArea dataOnly="0" labelOnly="1" outline="0" fieldPosition="0">
        <references count="1">
          <reference field="0" count="0"/>
        </references>
      </pivotArea>
    </format>
    <format dxfId="164">
      <pivotArea dataOnly="0" labelOnly="1" grandCol="1" outline="0" fieldPosition="0"/>
    </format>
    <format dxfId="163">
      <pivotArea type="all" dataOnly="0" outline="0" fieldPosition="0"/>
    </format>
    <format dxfId="162">
      <pivotArea field="0" type="button" dataOnly="0" labelOnly="1" outline="0" axis="axisCol" fieldPosition="0"/>
    </format>
    <format dxfId="161">
      <pivotArea type="topRight" dataOnly="0" labelOnly="1" outline="0" fieldPosition="0"/>
    </format>
    <format dxfId="160">
      <pivotArea dataOnly="0" labelOnly="1" outline="0" fieldPosition="0">
        <references count="1">
          <reference field="0" count="0"/>
        </references>
      </pivotArea>
    </format>
    <format dxfId="159">
      <pivotArea dataOnly="0" labelOnly="1" grandCol="1" outline="0" fieldPosition="0"/>
    </format>
    <format dxfId="158">
      <pivotArea type="all" dataOnly="0" outline="0" fieldPosition="0"/>
    </format>
    <format dxfId="157">
      <pivotArea field="0" type="button" dataOnly="0" labelOnly="1" outline="0" axis="axisCol" fieldPosition="0"/>
    </format>
    <format dxfId="156">
      <pivotArea type="topRight" dataOnly="0" labelOnly="1" outline="0" fieldPosition="0"/>
    </format>
    <format dxfId="155">
      <pivotArea dataOnly="0" labelOnly="1" outline="0" fieldPosition="0">
        <references count="1">
          <reference field="0" count="0"/>
        </references>
      </pivotArea>
    </format>
    <format dxfId="154">
      <pivotArea dataOnly="0" labelOnly="1" grandCol="1" outline="0" fieldPosition="0"/>
    </format>
    <format dxfId="153">
      <pivotArea type="all" dataOnly="0" outline="0" fieldPosition="0"/>
    </format>
    <format dxfId="152">
      <pivotArea field="0" type="button" dataOnly="0" labelOnly="1" outline="0" axis="axisCol" fieldPosition="0"/>
    </format>
    <format dxfId="151">
      <pivotArea type="topRight" dataOnly="0" labelOnly="1" outline="0" fieldPosition="0"/>
    </format>
    <format dxfId="150">
      <pivotArea dataOnly="0" labelOnly="1" outline="0" fieldPosition="0">
        <references count="1">
          <reference field="0" count="0"/>
        </references>
      </pivotArea>
    </format>
    <format dxfId="149">
      <pivotArea dataOnly="0" labelOnly="1" grandCol="1" outline="0" fieldPosition="0"/>
    </format>
    <format dxfId="148">
      <pivotArea type="all" dataOnly="0" outline="0" fieldPosition="0"/>
    </format>
    <format dxfId="147">
      <pivotArea field="0" type="button" dataOnly="0" labelOnly="1" outline="0" axis="axisCol" fieldPosition="0"/>
    </format>
    <format dxfId="146">
      <pivotArea type="topRight" dataOnly="0" labelOnly="1" outline="0" fieldPosition="0"/>
    </format>
    <format dxfId="145">
      <pivotArea dataOnly="0" labelOnly="1" outline="0" fieldPosition="0">
        <references count="1">
          <reference field="0" count="0"/>
        </references>
      </pivotArea>
    </format>
    <format dxfId="144">
      <pivotArea dataOnly="0" labelOnly="1" grandCol="1" outline="0" fieldPosition="0"/>
    </format>
    <format dxfId="143">
      <pivotArea type="all" dataOnly="0" outline="0" fieldPosition="0"/>
    </format>
    <format dxfId="142">
      <pivotArea field="0" type="button" dataOnly="0" labelOnly="1" outline="0" axis="axisCol" fieldPosition="0"/>
    </format>
    <format dxfId="141">
      <pivotArea type="topRight" dataOnly="0" labelOnly="1" outline="0" fieldPosition="0"/>
    </format>
    <format dxfId="140">
      <pivotArea dataOnly="0" labelOnly="1" outline="0" fieldPosition="0">
        <references count="1">
          <reference field="0" count="0"/>
        </references>
      </pivotArea>
    </format>
    <format dxfId="139">
      <pivotArea dataOnly="0" labelOnly="1" grandCol="1" outline="0" fieldPosition="0"/>
    </format>
    <format dxfId="138">
      <pivotArea type="all" dataOnly="0" outline="0" fieldPosition="0"/>
    </format>
    <format dxfId="137">
      <pivotArea field="0" type="button" dataOnly="0" labelOnly="1" outline="0" axis="axisCol" fieldPosition="0"/>
    </format>
    <format dxfId="136">
      <pivotArea type="topRight" dataOnly="0" labelOnly="1" outline="0" fieldPosition="0"/>
    </format>
    <format dxfId="135">
      <pivotArea dataOnly="0" labelOnly="1" outline="0" fieldPosition="0">
        <references count="1">
          <reference field="0" count="0"/>
        </references>
      </pivotArea>
    </format>
    <format dxfId="134">
      <pivotArea dataOnly="0" labelOnly="1" grandCol="1" outline="0" fieldPosition="0"/>
    </format>
    <format dxfId="133">
      <pivotArea type="all" dataOnly="0" outline="0" fieldPosition="0"/>
    </format>
    <format dxfId="132">
      <pivotArea field="0" type="button" dataOnly="0" labelOnly="1" outline="0" axis="axisCol" fieldPosition="0"/>
    </format>
    <format dxfId="131">
      <pivotArea type="topRight" dataOnly="0" labelOnly="1" outline="0" fieldPosition="0"/>
    </format>
    <format dxfId="130">
      <pivotArea dataOnly="0" labelOnly="1" outline="0" fieldPosition="0">
        <references count="1">
          <reference field="0" count="0"/>
        </references>
      </pivotArea>
    </format>
    <format dxfId="129">
      <pivotArea dataOnly="0" labelOnly="1" grandCol="1" outline="0" fieldPosition="0"/>
    </format>
    <format dxfId="128">
      <pivotArea type="all" dataOnly="0" outline="0" fieldPosition="0"/>
    </format>
    <format dxfId="127">
      <pivotArea field="0" type="button" dataOnly="0" labelOnly="1" outline="0" axis="axisCol" fieldPosition="0"/>
    </format>
    <format dxfId="126">
      <pivotArea type="topRight" dataOnly="0" labelOnly="1" outline="0" fieldPosition="0"/>
    </format>
    <format dxfId="125">
      <pivotArea dataOnly="0" labelOnly="1" outline="0" fieldPosition="0">
        <references count="1">
          <reference field="0" count="0"/>
        </references>
      </pivotArea>
    </format>
    <format dxfId="124">
      <pivotArea dataOnly="0" labelOnly="1" grandCol="1" outline="0" fieldPosition="0"/>
    </format>
    <format dxfId="123">
      <pivotArea type="all" dataOnly="0" outline="0" fieldPosition="0"/>
    </format>
    <format dxfId="122">
      <pivotArea field="0" type="button" dataOnly="0" labelOnly="1" outline="0" axis="axisCol" fieldPosition="0"/>
    </format>
    <format dxfId="121">
      <pivotArea type="topRight" dataOnly="0" labelOnly="1" outline="0" fieldPosition="0"/>
    </format>
    <format dxfId="120">
      <pivotArea dataOnly="0" labelOnly="1" outline="0" fieldPosition="0">
        <references count="1">
          <reference field="0" count="0"/>
        </references>
      </pivotArea>
    </format>
    <format dxfId="119">
      <pivotArea dataOnly="0" labelOnly="1" grandCol="1" outline="0" fieldPosition="0"/>
    </format>
    <format dxfId="118">
      <pivotArea field="0" type="button" dataOnly="0" labelOnly="1" outline="0" axis="axisCol" fieldPosition="0"/>
    </format>
    <format dxfId="117">
      <pivotArea dataOnly="0" labelOnly="1" outline="0" fieldPosition="0">
        <references count="1">
          <reference field="0" count="1">
            <x v="0"/>
          </reference>
        </references>
      </pivotArea>
    </format>
    <format dxfId="116">
      <pivotArea field="0" type="button" dataOnly="0" labelOnly="1" outline="0" axis="axisCol" fieldPosition="0"/>
    </format>
    <format dxfId="115">
      <pivotArea dataOnly="0" labelOnly="1" outline="0" fieldPosition="0">
        <references count="1">
          <reference field="0" count="1">
            <x v="0"/>
          </reference>
        </references>
      </pivotArea>
    </format>
    <format dxfId="114">
      <pivotArea type="topRight" dataOnly="0" labelOnly="1" outline="0" offset="B1" fieldPosition="0"/>
    </format>
    <format dxfId="113">
      <pivotArea dataOnly="0" labelOnly="1" outline="0" fieldPosition="0">
        <references count="1">
          <reference field="0" count="1">
            <x v="2"/>
          </reference>
        </references>
      </pivotArea>
    </format>
    <format dxfId="112">
      <pivotArea type="topRight" dataOnly="0" labelOnly="1" outline="0" offset="D1" fieldPosition="0"/>
    </format>
    <format dxfId="111">
      <pivotArea dataOnly="0" labelOnly="1" outline="0" fieldPosition="0">
        <references count="1">
          <reference field="0" count="1">
            <x v="4"/>
          </reference>
        </references>
      </pivotArea>
    </format>
    <format dxfId="110">
      <pivotArea type="topRight" dataOnly="0" labelOnly="1" outline="0" offset="F1" fieldPosition="0"/>
    </format>
    <format dxfId="109">
      <pivotArea dataOnly="0" labelOnly="1" outline="0" fieldPosition="0">
        <references count="1">
          <reference field="0" count="1">
            <x v="6"/>
          </reference>
        </references>
      </pivotArea>
    </format>
    <format dxfId="108">
      <pivotArea type="topRight" dataOnly="0" labelOnly="1" outline="0" offset="H1" fieldPosition="0"/>
    </format>
    <format dxfId="107">
      <pivotArea dataOnly="0" labelOnly="1" outline="0" fieldPosition="0">
        <references count="1">
          <reference field="0" count="1">
            <x v="8"/>
          </reference>
        </references>
      </pivotArea>
    </format>
    <format dxfId="106">
      <pivotArea type="topRight" dataOnly="0" labelOnly="1" outline="0" offset="J1" fieldPosition="0"/>
    </format>
    <format dxfId="105">
      <pivotArea dataOnly="0" labelOnly="1" grandCol="1" outline="0" fieldPosition="0"/>
    </format>
    <format dxfId="104">
      <pivotArea dataOnly="0" outline="0" fieldPosition="0">
        <references count="1">
          <reference field="0" count="1">
            <x v="2"/>
          </reference>
        </references>
      </pivotArea>
    </format>
    <format dxfId="103">
      <pivotArea dataOnly="0" outline="0" fieldPosition="0">
        <references count="1">
          <reference field="0" count="1">
            <x v="2"/>
          </reference>
        </references>
      </pivotArea>
    </format>
    <format dxfId="102">
      <pivotArea dataOnly="0" outline="0" fieldPosition="0">
        <references count="1">
          <reference field="0" count="1">
            <x v="2"/>
          </reference>
        </references>
      </pivotArea>
    </format>
    <format dxfId="101">
      <pivotArea dataOnly="0" outline="0" fieldPosition="0">
        <references count="1">
          <reference field="0" count="1">
            <x v="2"/>
          </reference>
        </references>
      </pivotArea>
    </format>
    <format dxfId="100">
      <pivotArea field="0" type="button" dataOnly="0" labelOnly="1" outline="0" axis="axisCol" fieldPosition="0"/>
    </format>
    <format dxfId="99">
      <pivotArea field="0" type="button" dataOnly="0" labelOnly="1" outline="0" axis="axisCol" fieldPosition="0"/>
    </format>
    <format dxfId="98">
      <pivotArea dataOnly="0" labelOnly="1" outline="0" fieldPosition="0">
        <references count="1">
          <reference field="0" count="1">
            <x v="0"/>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altTextSummary="A summary PivotTable showing primary categories and their subtotals"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Category" xr10:uid="{00000000-0013-0000-FFFF-FFFF01000000}" sourceName="Primary Category">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Category" xr10:uid="{00000000-0014-0000-FFFF-FFFF01000000}" cache="Slicer_Primary_Category" caption="Primary Category" columnCount="3" style="SlicerStyleDark5 2"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B10:G61" headerRowDxfId="12">
  <autoFilter ref="B10:G61"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Primary Category" totalsRowLabel="Total" dataDxfId="10" totalsRowDxfId="11"/>
    <tableColumn id="2" xr3:uid="{00000000-0010-0000-0000-000002000000}" name="Secondary category" dataDxfId="8" totalsRowDxfId="9"/>
    <tableColumn id="3" xr3:uid="{00000000-0010-0000-0000-000003000000}" name="Estimated quantity" dataDxfId="6" totalsRowDxfId="7"/>
    <tableColumn id="4" xr3:uid="{00000000-0010-0000-0000-000004000000}" name="Estimated cost per unit" dataDxfId="4" totalsRowDxfId="5"/>
    <tableColumn id="5" xr3:uid="{00000000-0010-0000-0000-000005000000}" name="Estimated subtotal" dataDxfId="2" totalsRowDxfId="3">
      <calculatedColumnFormula>Data[[#This Row],[Estimated quantity]]*Data[[#This Row],[Estimated cost per unit]]</calculatedColumnFormula>
    </tableColumn>
    <tableColumn id="6" xr3:uid="{00000000-0010-0000-0000-000006000000}" name="Notes" totalsRowFunction="count" dataDxfId="0" totalsRowDxfId="1"/>
  </tableColumns>
  <tableStyleInfo showFirstColumn="1" showLastColumn="0" showRowStripes="1" showColumnStripes="0"/>
  <extLst>
    <ext xmlns:x14="http://schemas.microsoft.com/office/spreadsheetml/2009/9/main" uri="{504A1905-F514-4f6f-8877-14C23A59335A}">
      <x14:table altTextSummary="Enter Primary and Secondary categories, Estimated quantity and cost per unit, and Notes in this table. Estimated Subtotal is auto-calculated"/>
    </ext>
  </extLst>
</table>
</file>

<file path=xl/theme/theme1.xml><?xml version="1.0" encoding="utf-8"?>
<a:theme xmlns:a="http://schemas.openxmlformats.org/drawingml/2006/main" name="QLS">
  <a:themeElements>
    <a:clrScheme name="Custom 36">
      <a:dk1>
        <a:sysClr val="windowText" lastClr="000000"/>
      </a:dk1>
      <a:lt1>
        <a:sysClr val="window" lastClr="FFFFFF"/>
      </a:lt1>
      <a:dk2>
        <a:srgbClr val="2B2D42"/>
      </a:dk2>
      <a:lt2>
        <a:srgbClr val="EEF2F4"/>
      </a:lt2>
      <a:accent1>
        <a:srgbClr val="8D99AD"/>
      </a:accent1>
      <a:accent2>
        <a:srgbClr val="FFE181"/>
      </a:accent2>
      <a:accent3>
        <a:srgbClr val="8D99AD"/>
      </a:accent3>
      <a:accent4>
        <a:srgbClr val="636897"/>
      </a:accent4>
      <a:accent5>
        <a:srgbClr val="636897"/>
      </a:accent5>
      <a:accent6>
        <a:srgbClr val="FFE181"/>
      </a:accent6>
      <a:hlink>
        <a:srgbClr val="EE243D"/>
      </a:hlink>
      <a:folHlink>
        <a:srgbClr val="D91F2B"/>
      </a:folHlink>
    </a:clrScheme>
    <a:fontScheme name="Arial Black-Arial">
      <a:majorFont>
        <a:latin typeface="Arial Black" panose="020B0A0402010202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39997558519241921"/>
  </sheetPr>
  <dimension ref="B1:B7"/>
  <sheetViews>
    <sheetView tabSelected="1" workbookViewId="0"/>
  </sheetViews>
  <sheetFormatPr defaultRowHeight="12.75" x14ac:dyDescent="0.2"/>
  <cols>
    <col min="1" max="1" width="2.7109375" customWidth="1"/>
    <col min="2" max="2" width="80.7109375" customWidth="1"/>
    <col min="3" max="3" width="2.7109375" customWidth="1"/>
  </cols>
  <sheetData>
    <row r="1" spans="2:2" ht="20.25" x14ac:dyDescent="0.2">
      <c r="B1" s="23" t="s">
        <v>0</v>
      </c>
    </row>
    <row r="2" spans="2:2" ht="24.75" customHeight="1" x14ac:dyDescent="0.2">
      <c r="B2" s="24" t="s">
        <v>1</v>
      </c>
    </row>
    <row r="3" spans="2:2" ht="50.1" customHeight="1" x14ac:dyDescent="0.2">
      <c r="B3" s="24" t="s">
        <v>2</v>
      </c>
    </row>
    <row r="4" spans="2:2" ht="24.95" customHeight="1" x14ac:dyDescent="0.2">
      <c r="B4" s="24" t="s">
        <v>3</v>
      </c>
    </row>
    <row r="5" spans="2:2" ht="33.75" customHeight="1" x14ac:dyDescent="0.2">
      <c r="B5" s="25" t="s">
        <v>4</v>
      </c>
    </row>
    <row r="6" spans="2:2" ht="60" x14ac:dyDescent="0.2">
      <c r="B6" s="24" t="s">
        <v>5</v>
      </c>
    </row>
    <row r="7" spans="2:2" ht="73.5" customHeight="1" x14ac:dyDescent="0.2">
      <c r="B7" s="24" t="s">
        <v>6</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pageSetUpPr autoPageBreaks="0" fitToPage="1"/>
  </sheetPr>
  <dimension ref="A1:H88"/>
  <sheetViews>
    <sheetView showGridLines="0" zoomScaleNormal="100" workbookViewId="0"/>
  </sheetViews>
  <sheetFormatPr defaultColWidth="9.140625" defaultRowHeight="12.75" x14ac:dyDescent="0.2"/>
  <cols>
    <col min="1" max="1" width="3.28515625" style="27" customWidth="1"/>
    <col min="2" max="2" width="28.7109375" style="2" customWidth="1"/>
    <col min="3" max="3" width="28.28515625" style="2" customWidth="1"/>
    <col min="4" max="4" width="23.140625" style="2" customWidth="1"/>
    <col min="5" max="5" width="28.7109375" style="2" customWidth="1"/>
    <col min="6" max="6" width="25.42578125" style="2" customWidth="1"/>
    <col min="7" max="7" width="26" style="2" customWidth="1"/>
    <col min="8" max="8" width="2.7109375" style="2" customWidth="1"/>
    <col min="9" max="16384" width="9.140625" style="2"/>
  </cols>
  <sheetData>
    <row r="1" spans="1:8" s="1" customFormat="1" ht="16.5" customHeight="1" x14ac:dyDescent="0.2">
      <c r="A1" s="28" t="s">
        <v>7</v>
      </c>
      <c r="B1" s="9"/>
      <c r="C1" s="9"/>
      <c r="D1" s="9"/>
      <c r="E1" s="9"/>
      <c r="F1" s="9"/>
      <c r="G1" s="9"/>
    </row>
    <row r="2" spans="1:8" s="1" customFormat="1" ht="42" customHeight="1" x14ac:dyDescent="0.2">
      <c r="A2" s="26" t="s">
        <v>8</v>
      </c>
      <c r="B2" s="43" t="s">
        <v>16</v>
      </c>
      <c r="C2" s="10"/>
      <c r="D2" s="10"/>
      <c r="E2" s="10"/>
      <c r="F2" s="10"/>
      <c r="H2" s="10"/>
    </row>
    <row r="3" spans="1:8" ht="9.75" customHeight="1" x14ac:dyDescent="0.2">
      <c r="A3" s="27" t="s">
        <v>9</v>
      </c>
      <c r="B3" s="41"/>
      <c r="C3" s="42"/>
      <c r="D3" s="41"/>
      <c r="E3" s="48" t="s">
        <v>82</v>
      </c>
      <c r="F3" s="48"/>
      <c r="G3" s="48"/>
      <c r="H3" s="13"/>
    </row>
    <row r="4" spans="1:8" ht="20.100000000000001" customHeight="1" x14ac:dyDescent="0.25">
      <c r="A4" s="26" t="s">
        <v>10</v>
      </c>
      <c r="B4" s="51" t="s">
        <v>17</v>
      </c>
      <c r="C4" s="51"/>
      <c r="D4" s="11">
        <v>50</v>
      </c>
      <c r="E4" s="48"/>
      <c r="F4" s="48"/>
      <c r="G4" s="48"/>
      <c r="H4" s="13"/>
    </row>
    <row r="5" spans="1:8" ht="20.100000000000001" customHeight="1" x14ac:dyDescent="0.25">
      <c r="A5" s="26" t="s">
        <v>11</v>
      </c>
      <c r="B5" s="50" t="s">
        <v>18</v>
      </c>
      <c r="C5" s="50"/>
      <c r="D5" s="58">
        <f>SUMIF(Data[Primary Category],"Event",Data[Estimated subtotal])</f>
        <v>2500</v>
      </c>
      <c r="E5" s="48"/>
      <c r="F5" s="48"/>
      <c r="G5" s="48"/>
    </row>
    <row r="6" spans="1:8" ht="20.100000000000001" customHeight="1" x14ac:dyDescent="0.25">
      <c r="A6" s="26" t="s">
        <v>12</v>
      </c>
      <c r="B6" s="50" t="s">
        <v>19</v>
      </c>
      <c r="C6" s="50"/>
      <c r="D6" s="58">
        <f>EventCosts/NumberOfAttendees</f>
        <v>50</v>
      </c>
      <c r="E6" s="48"/>
      <c r="F6" s="48"/>
      <c r="G6" s="48"/>
    </row>
    <row r="7" spans="1:8" ht="30" customHeight="1" thickBot="1" x14ac:dyDescent="0.25">
      <c r="A7" s="26" t="s">
        <v>13</v>
      </c>
      <c r="B7" s="49" t="s">
        <v>20</v>
      </c>
      <c r="C7" s="49"/>
      <c r="D7" s="59">
        <f>SUMIF(Data[Primary Category],"&lt;&gt;Event",Data[Estimated subtotal])</f>
        <v>45743</v>
      </c>
      <c r="E7" s="48"/>
      <c r="F7" s="48"/>
      <c r="G7" s="48"/>
    </row>
    <row r="8" spans="1:8" ht="29.25" customHeight="1" x14ac:dyDescent="0.35">
      <c r="A8" s="26" t="s">
        <v>14</v>
      </c>
      <c r="B8" s="19" t="s">
        <v>21</v>
      </c>
      <c r="C8" s="12"/>
      <c r="D8" s="60">
        <f>SUBTOTAL(109,Data[Estimated subtotal])</f>
        <v>48243</v>
      </c>
      <c r="E8" s="48"/>
      <c r="F8" s="48"/>
      <c r="G8" s="48"/>
    </row>
    <row r="9" spans="1:8" ht="33" customHeight="1" x14ac:dyDescent="0.2"/>
    <row r="10" spans="1:8" s="1" customFormat="1" ht="39" customHeight="1" x14ac:dyDescent="0.2">
      <c r="A10" s="28" t="s">
        <v>15</v>
      </c>
      <c r="B10" s="5" t="s">
        <v>22</v>
      </c>
      <c r="C10" s="7" t="s">
        <v>33</v>
      </c>
      <c r="D10" s="6" t="s">
        <v>81</v>
      </c>
      <c r="E10" s="8" t="s">
        <v>83</v>
      </c>
      <c r="F10" s="6" t="s">
        <v>84</v>
      </c>
      <c r="G10" s="7" t="s">
        <v>85</v>
      </c>
    </row>
    <row r="11" spans="1:8" ht="27.95" customHeight="1" thickBot="1" x14ac:dyDescent="0.25">
      <c r="B11" s="35" t="s">
        <v>23</v>
      </c>
      <c r="C11" s="36" t="s">
        <v>34</v>
      </c>
      <c r="D11" s="37">
        <v>2</v>
      </c>
      <c r="E11" s="44">
        <v>2300</v>
      </c>
      <c r="F11" s="44">
        <f>Data[[#This Row],[Estimated quantity]]*Data[[#This Row],[Estimated cost per unit]]</f>
        <v>4600</v>
      </c>
      <c r="G11" s="38"/>
    </row>
    <row r="12" spans="1:8" ht="27.95" customHeight="1" thickTop="1" thickBot="1" x14ac:dyDescent="0.25">
      <c r="B12" s="39" t="s">
        <v>23</v>
      </c>
      <c r="C12" s="32" t="s">
        <v>35</v>
      </c>
      <c r="D12" s="33">
        <v>1</v>
      </c>
      <c r="E12" s="45">
        <v>1100</v>
      </c>
      <c r="F12" s="45">
        <f>Data[[#This Row],[Estimated quantity]]*Data[[#This Row],[Estimated cost per unit]]</f>
        <v>1100</v>
      </c>
      <c r="G12" s="34"/>
    </row>
    <row r="13" spans="1:8" ht="27.75" customHeight="1" thickTop="1" thickBot="1" x14ac:dyDescent="0.25">
      <c r="B13" s="40" t="s">
        <v>23</v>
      </c>
      <c r="C13" s="29" t="s">
        <v>36</v>
      </c>
      <c r="D13" s="30">
        <v>3</v>
      </c>
      <c r="E13" s="46">
        <v>300</v>
      </c>
      <c r="F13" s="46">
        <f>Data[[#This Row],[Estimated quantity]]*Data[[#This Row],[Estimated cost per unit]]</f>
        <v>900</v>
      </c>
      <c r="G13" s="31"/>
    </row>
    <row r="14" spans="1:8" ht="27.95" customHeight="1" thickTop="1" thickBot="1" x14ac:dyDescent="0.25">
      <c r="B14" s="39" t="s">
        <v>23</v>
      </c>
      <c r="C14" s="32" t="s">
        <v>37</v>
      </c>
      <c r="D14" s="33">
        <v>2</v>
      </c>
      <c r="E14" s="45">
        <v>250</v>
      </c>
      <c r="F14" s="45">
        <f>Data[[#This Row],[Estimated quantity]]*Data[[#This Row],[Estimated cost per unit]]</f>
        <v>500</v>
      </c>
      <c r="G14" s="34"/>
    </row>
    <row r="15" spans="1:8" ht="27.95" customHeight="1" thickTop="1" thickBot="1" x14ac:dyDescent="0.25">
      <c r="B15" s="40" t="s">
        <v>24</v>
      </c>
      <c r="C15" s="29" t="s">
        <v>38</v>
      </c>
      <c r="D15" s="30">
        <v>5000</v>
      </c>
      <c r="E15" s="46">
        <v>0.15</v>
      </c>
      <c r="F15" s="46">
        <f>Data[[#This Row],[Estimated quantity]]*Data[[#This Row],[Estimated cost per unit]]</f>
        <v>750</v>
      </c>
      <c r="G15" s="31"/>
    </row>
    <row r="16" spans="1:8" ht="27.95" customHeight="1" thickTop="1" thickBot="1" x14ac:dyDescent="0.25">
      <c r="B16" s="39" t="s">
        <v>24</v>
      </c>
      <c r="C16" s="32" t="s">
        <v>39</v>
      </c>
      <c r="D16" s="33">
        <v>5</v>
      </c>
      <c r="E16" s="45">
        <v>4000</v>
      </c>
      <c r="F16" s="45">
        <f>Data[[#This Row],[Estimated quantity]]*Data[[#This Row],[Estimated cost per unit]]</f>
        <v>20000</v>
      </c>
      <c r="G16" s="34"/>
    </row>
    <row r="17" spans="2:7" ht="27.95" customHeight="1" thickTop="1" thickBot="1" x14ac:dyDescent="0.25">
      <c r="B17" s="40" t="s">
        <v>24</v>
      </c>
      <c r="C17" s="29" t="s">
        <v>40</v>
      </c>
      <c r="D17" s="30">
        <v>13</v>
      </c>
      <c r="E17" s="46">
        <v>350</v>
      </c>
      <c r="F17" s="46">
        <f>Data[[#This Row],[Estimated quantity]]*Data[[#This Row],[Estimated cost per unit]]</f>
        <v>4550</v>
      </c>
      <c r="G17" s="31"/>
    </row>
    <row r="18" spans="2:7" ht="27.95" customHeight="1" thickTop="1" thickBot="1" x14ac:dyDescent="0.25">
      <c r="B18" s="39" t="s">
        <v>24</v>
      </c>
      <c r="C18" s="32" t="s">
        <v>41</v>
      </c>
      <c r="D18" s="33">
        <v>1</v>
      </c>
      <c r="E18" s="45">
        <v>350</v>
      </c>
      <c r="F18" s="45">
        <f>Data[[#This Row],[Estimated quantity]]*Data[[#This Row],[Estimated cost per unit]]</f>
        <v>350</v>
      </c>
      <c r="G18" s="34"/>
    </row>
    <row r="19" spans="2:7" ht="27.95" customHeight="1" thickTop="1" thickBot="1" x14ac:dyDescent="0.25">
      <c r="B19" s="40" t="s">
        <v>25</v>
      </c>
      <c r="C19" s="29" t="s">
        <v>25</v>
      </c>
      <c r="D19" s="30"/>
      <c r="E19" s="46"/>
      <c r="F19" s="46">
        <f>Data[[#This Row],[Estimated quantity]]*Data[[#This Row],[Estimated cost per unit]]</f>
        <v>0</v>
      </c>
      <c r="G19" s="31"/>
    </row>
    <row r="20" spans="2:7" ht="27.95" customHeight="1" thickTop="1" thickBot="1" x14ac:dyDescent="0.25">
      <c r="B20" s="39" t="s">
        <v>25</v>
      </c>
      <c r="C20" s="32" t="s">
        <v>42</v>
      </c>
      <c r="D20" s="33">
        <v>3</v>
      </c>
      <c r="E20" s="45">
        <v>50</v>
      </c>
      <c r="F20" s="45">
        <f>Data[[#This Row],[Estimated quantity]]*Data[[#This Row],[Estimated cost per unit]]</f>
        <v>150</v>
      </c>
      <c r="G20" s="34"/>
    </row>
    <row r="21" spans="2:7" ht="27.95" customHeight="1" thickTop="1" thickBot="1" x14ac:dyDescent="0.25">
      <c r="B21" s="40" t="s">
        <v>25</v>
      </c>
      <c r="C21" s="29" t="s">
        <v>43</v>
      </c>
      <c r="D21" s="30">
        <v>2</v>
      </c>
      <c r="E21" s="46">
        <v>20</v>
      </c>
      <c r="F21" s="46">
        <f>Data[[#This Row],[Estimated quantity]]*Data[[#This Row],[Estimated cost per unit]]</f>
        <v>40</v>
      </c>
      <c r="G21" s="31"/>
    </row>
    <row r="22" spans="2:7" ht="27.95" customHeight="1" thickTop="1" thickBot="1" x14ac:dyDescent="0.25">
      <c r="B22" s="39" t="s">
        <v>25</v>
      </c>
      <c r="C22" s="32" t="s">
        <v>44</v>
      </c>
      <c r="D22" s="33">
        <v>2</v>
      </c>
      <c r="E22" s="45">
        <v>32</v>
      </c>
      <c r="F22" s="45">
        <f>Data[[#This Row],[Estimated quantity]]*Data[[#This Row],[Estimated cost per unit]]</f>
        <v>64</v>
      </c>
      <c r="G22" s="34"/>
    </row>
    <row r="23" spans="2:7" ht="27.95" customHeight="1" thickTop="1" thickBot="1" x14ac:dyDescent="0.25">
      <c r="B23" s="40" t="s">
        <v>26</v>
      </c>
      <c r="C23" s="29" t="s">
        <v>45</v>
      </c>
      <c r="D23" s="30">
        <v>50</v>
      </c>
      <c r="E23" s="46"/>
      <c r="F23" s="46">
        <f>Data[[#This Row],[Estimated quantity]]*Data[[#This Row],[Estimated cost per unit]]</f>
        <v>0</v>
      </c>
      <c r="G23" s="31"/>
    </row>
    <row r="24" spans="2:7" ht="27.95" customHeight="1" thickTop="1" thickBot="1" x14ac:dyDescent="0.25">
      <c r="B24" s="39" t="s">
        <v>26</v>
      </c>
      <c r="C24" s="32" t="s">
        <v>46</v>
      </c>
      <c r="D24" s="33"/>
      <c r="E24" s="45"/>
      <c r="F24" s="45">
        <f>Data[[#This Row],[Estimated quantity]]*Data[[#This Row],[Estimated cost per unit]]</f>
        <v>0</v>
      </c>
      <c r="G24" s="34"/>
    </row>
    <row r="25" spans="2:7" ht="27.95" customHeight="1" thickTop="1" thickBot="1" x14ac:dyDescent="0.25">
      <c r="B25" s="40" t="s">
        <v>26</v>
      </c>
      <c r="C25" s="29" t="s">
        <v>47</v>
      </c>
      <c r="D25" s="30"/>
      <c r="E25" s="46">
        <v>23</v>
      </c>
      <c r="F25" s="46">
        <f>Data[[#This Row],[Estimated quantity]]*Data[[#This Row],[Estimated cost per unit]]</f>
        <v>0</v>
      </c>
      <c r="G25" s="31"/>
    </row>
    <row r="26" spans="2:7" ht="27.95" customHeight="1" thickTop="1" thickBot="1" x14ac:dyDescent="0.25">
      <c r="B26" s="39" t="s">
        <v>26</v>
      </c>
      <c r="C26" s="32" t="s">
        <v>48</v>
      </c>
      <c r="D26" s="33"/>
      <c r="E26" s="45">
        <v>2.3000000000000003</v>
      </c>
      <c r="F26" s="45">
        <f>Data[[#This Row],[Estimated quantity]]*Data[[#This Row],[Estimated cost per unit]]</f>
        <v>0</v>
      </c>
      <c r="G26" s="34"/>
    </row>
    <row r="27" spans="2:7" ht="27.95" customHeight="1" thickTop="1" thickBot="1" x14ac:dyDescent="0.25">
      <c r="B27" s="40" t="s">
        <v>26</v>
      </c>
      <c r="C27" s="29" t="s">
        <v>49</v>
      </c>
      <c r="D27" s="30"/>
      <c r="E27" s="46">
        <v>5.0600000000000005</v>
      </c>
      <c r="F27" s="46">
        <f>Data[[#This Row],[Estimated quantity]]*Data[[#This Row],[Estimated cost per unit]]</f>
        <v>0</v>
      </c>
      <c r="G27" s="31"/>
    </row>
    <row r="28" spans="2:7" ht="27.95" customHeight="1" thickTop="1" thickBot="1" x14ac:dyDescent="0.25">
      <c r="B28" s="39" t="s">
        <v>26</v>
      </c>
      <c r="C28" s="32" t="s">
        <v>50</v>
      </c>
      <c r="D28" s="33">
        <v>1</v>
      </c>
      <c r="E28" s="45">
        <v>300</v>
      </c>
      <c r="F28" s="45">
        <f>Data[[#This Row],[Estimated quantity]]*Data[[#This Row],[Estimated cost per unit]]</f>
        <v>300</v>
      </c>
      <c r="G28" s="34"/>
    </row>
    <row r="29" spans="2:7" ht="27.95" customHeight="1" thickTop="1" thickBot="1" x14ac:dyDescent="0.25">
      <c r="B29" s="40" t="s">
        <v>26</v>
      </c>
      <c r="C29" s="29" t="s">
        <v>51</v>
      </c>
      <c r="D29" s="30">
        <v>1</v>
      </c>
      <c r="E29" s="46">
        <v>800</v>
      </c>
      <c r="F29" s="46">
        <f>Data[[#This Row],[Estimated quantity]]*Data[[#This Row],[Estimated cost per unit]]</f>
        <v>800</v>
      </c>
      <c r="G29" s="31"/>
    </row>
    <row r="30" spans="2:7" ht="27.95" customHeight="1" thickTop="1" thickBot="1" x14ac:dyDescent="0.25">
      <c r="B30" s="39" t="s">
        <v>26</v>
      </c>
      <c r="C30" s="32" t="s">
        <v>52</v>
      </c>
      <c r="D30" s="33">
        <v>1</v>
      </c>
      <c r="E30" s="45">
        <v>1200</v>
      </c>
      <c r="F30" s="45">
        <f>Data[[#This Row],[Estimated quantity]]*Data[[#This Row],[Estimated cost per unit]]</f>
        <v>1200</v>
      </c>
      <c r="G30" s="34"/>
    </row>
    <row r="31" spans="2:7" ht="27.95" customHeight="1" thickTop="1" thickBot="1" x14ac:dyDescent="0.25">
      <c r="B31" s="40" t="s">
        <v>26</v>
      </c>
      <c r="C31" s="29" t="s">
        <v>53</v>
      </c>
      <c r="D31" s="30">
        <v>1</v>
      </c>
      <c r="E31" s="46">
        <v>200</v>
      </c>
      <c r="F31" s="46">
        <f>Data[[#This Row],[Estimated quantity]]*Data[[#This Row],[Estimated cost per unit]]</f>
        <v>200</v>
      </c>
      <c r="G31" s="31"/>
    </row>
    <row r="32" spans="2:7" ht="27.95" customHeight="1" thickTop="1" thickBot="1" x14ac:dyDescent="0.25">
      <c r="B32" s="39" t="s">
        <v>27</v>
      </c>
      <c r="C32" s="32" t="s">
        <v>54</v>
      </c>
      <c r="D32" s="33">
        <v>1</v>
      </c>
      <c r="E32" s="45">
        <v>0</v>
      </c>
      <c r="F32" s="45">
        <f>Data[[#This Row],[Estimated quantity]]*Data[[#This Row],[Estimated cost per unit]]</f>
        <v>0</v>
      </c>
      <c r="G32" s="34" t="s">
        <v>86</v>
      </c>
    </row>
    <row r="33" spans="2:7" ht="27.95" customHeight="1" thickTop="1" thickBot="1" x14ac:dyDescent="0.25">
      <c r="B33" s="40" t="s">
        <v>27</v>
      </c>
      <c r="C33" s="29" t="s">
        <v>55</v>
      </c>
      <c r="D33" s="30">
        <v>1</v>
      </c>
      <c r="E33" s="46">
        <v>0</v>
      </c>
      <c r="F33" s="46">
        <f>Data[[#This Row],[Estimated quantity]]*Data[[#This Row],[Estimated cost per unit]]</f>
        <v>0</v>
      </c>
      <c r="G33" s="31" t="s">
        <v>86</v>
      </c>
    </row>
    <row r="34" spans="2:7" ht="27.95" customHeight="1" thickTop="1" thickBot="1" x14ac:dyDescent="0.25">
      <c r="B34" s="39" t="s">
        <v>27</v>
      </c>
      <c r="C34" s="32" t="s">
        <v>56</v>
      </c>
      <c r="D34" s="33">
        <v>1</v>
      </c>
      <c r="E34" s="45">
        <v>45</v>
      </c>
      <c r="F34" s="45">
        <f>Data[[#This Row],[Estimated quantity]]*Data[[#This Row],[Estimated cost per unit]]</f>
        <v>45</v>
      </c>
      <c r="G34" s="34"/>
    </row>
    <row r="35" spans="2:7" ht="27.95" customHeight="1" thickTop="1" thickBot="1" x14ac:dyDescent="0.25">
      <c r="B35" s="40" t="s">
        <v>27</v>
      </c>
      <c r="C35" s="29" t="s">
        <v>57</v>
      </c>
      <c r="D35" s="30">
        <v>1</v>
      </c>
      <c r="E35" s="46">
        <v>12</v>
      </c>
      <c r="F35" s="46">
        <f>Data[[#This Row],[Estimated quantity]]*Data[[#This Row],[Estimated cost per unit]]</f>
        <v>12</v>
      </c>
      <c r="G35" s="31"/>
    </row>
    <row r="36" spans="2:7" ht="27.95" customHeight="1" thickTop="1" thickBot="1" x14ac:dyDescent="0.25">
      <c r="B36" s="39" t="s">
        <v>27</v>
      </c>
      <c r="C36" s="32" t="s">
        <v>58</v>
      </c>
      <c r="D36" s="33">
        <v>1</v>
      </c>
      <c r="E36" s="45">
        <v>0</v>
      </c>
      <c r="F36" s="45">
        <f>Data[[#This Row],[Estimated quantity]]*Data[[#This Row],[Estimated cost per unit]]</f>
        <v>0</v>
      </c>
      <c r="G36" s="34" t="s">
        <v>86</v>
      </c>
    </row>
    <row r="37" spans="2:7" ht="27.95" customHeight="1" thickTop="1" thickBot="1" x14ac:dyDescent="0.25">
      <c r="B37" s="40" t="s">
        <v>27</v>
      </c>
      <c r="C37" s="29" t="s">
        <v>59</v>
      </c>
      <c r="D37" s="30">
        <v>1</v>
      </c>
      <c r="E37" s="46">
        <v>0</v>
      </c>
      <c r="F37" s="46">
        <f>Data[[#This Row],[Estimated quantity]]*Data[[#This Row],[Estimated cost per unit]]</f>
        <v>0</v>
      </c>
      <c r="G37" s="31" t="s">
        <v>86</v>
      </c>
    </row>
    <row r="38" spans="2:7" ht="27.95" customHeight="1" thickTop="1" thickBot="1" x14ac:dyDescent="0.25">
      <c r="B38" s="39" t="s">
        <v>27</v>
      </c>
      <c r="C38" s="32" t="s">
        <v>60</v>
      </c>
      <c r="D38" s="33">
        <v>1</v>
      </c>
      <c r="E38" s="45">
        <v>0</v>
      </c>
      <c r="F38" s="45">
        <f>Data[[#This Row],[Estimated quantity]]*Data[[#This Row],[Estimated cost per unit]]</f>
        <v>0</v>
      </c>
      <c r="G38" s="34" t="s">
        <v>86</v>
      </c>
    </row>
    <row r="39" spans="2:7" ht="27.95" customHeight="1" thickTop="1" thickBot="1" x14ac:dyDescent="0.25">
      <c r="B39" s="40" t="s">
        <v>27</v>
      </c>
      <c r="C39" s="29" t="s">
        <v>61</v>
      </c>
      <c r="D39" s="30">
        <v>1</v>
      </c>
      <c r="E39" s="46">
        <v>300</v>
      </c>
      <c r="F39" s="46">
        <f>Data[[#This Row],[Estimated quantity]]*Data[[#This Row],[Estimated cost per unit]]</f>
        <v>300</v>
      </c>
      <c r="G39" s="31"/>
    </row>
    <row r="40" spans="2:7" ht="27.95" customHeight="1" thickTop="1" thickBot="1" x14ac:dyDescent="0.25">
      <c r="B40" s="39" t="s">
        <v>27</v>
      </c>
      <c r="C40" s="32" t="s">
        <v>62</v>
      </c>
      <c r="D40" s="33"/>
      <c r="E40" s="45">
        <v>31.415999999999997</v>
      </c>
      <c r="F40" s="45">
        <f>Data[[#This Row],[Estimated quantity]]*Data[[#This Row],[Estimated cost per unit]]</f>
        <v>0</v>
      </c>
      <c r="G40" s="34"/>
    </row>
    <row r="41" spans="2:7" ht="27.95" customHeight="1" thickTop="1" thickBot="1" x14ac:dyDescent="0.25">
      <c r="B41" s="40" t="s">
        <v>28</v>
      </c>
      <c r="C41" s="29" t="s">
        <v>63</v>
      </c>
      <c r="D41" s="30"/>
      <c r="E41" s="46">
        <v>834</v>
      </c>
      <c r="F41" s="46">
        <f>Data[[#This Row],[Estimated quantity]]*Data[[#This Row],[Estimated cost per unit]]</f>
        <v>0</v>
      </c>
      <c r="G41" s="31"/>
    </row>
    <row r="42" spans="2:7" ht="27.95" customHeight="1" thickTop="1" thickBot="1" x14ac:dyDescent="0.25">
      <c r="B42" s="39" t="s">
        <v>28</v>
      </c>
      <c r="C42" s="32" t="s">
        <v>64</v>
      </c>
      <c r="D42" s="33"/>
      <c r="E42" s="45">
        <v>600</v>
      </c>
      <c r="F42" s="45">
        <f>Data[[#This Row],[Estimated quantity]]*Data[[#This Row],[Estimated cost per unit]]</f>
        <v>0</v>
      </c>
      <c r="G42" s="34"/>
    </row>
    <row r="43" spans="2:7" ht="27.95" customHeight="1" thickTop="1" thickBot="1" x14ac:dyDescent="0.25">
      <c r="B43" s="40" t="s">
        <v>28</v>
      </c>
      <c r="C43" s="29" t="s">
        <v>65</v>
      </c>
      <c r="D43" s="30"/>
      <c r="E43" s="46">
        <v>200</v>
      </c>
      <c r="F43" s="46">
        <f>Data[[#This Row],[Estimated quantity]]*Data[[#This Row],[Estimated cost per unit]]</f>
        <v>0</v>
      </c>
      <c r="G43" s="31" t="s">
        <v>87</v>
      </c>
    </row>
    <row r="44" spans="2:7" ht="27.95" customHeight="1" thickTop="1" thickBot="1" x14ac:dyDescent="0.25">
      <c r="B44" s="39" t="s">
        <v>28</v>
      </c>
      <c r="C44" s="32" t="s">
        <v>66</v>
      </c>
      <c r="D44" s="33"/>
      <c r="E44" s="45">
        <v>100</v>
      </c>
      <c r="F44" s="45">
        <f>Data[[#This Row],[Estimated quantity]]*Data[[#This Row],[Estimated cost per unit]]</f>
        <v>0</v>
      </c>
      <c r="G44" s="34"/>
    </row>
    <row r="45" spans="2:7" ht="27.95" customHeight="1" thickTop="1" thickBot="1" x14ac:dyDescent="0.25">
      <c r="B45" s="40" t="s">
        <v>29</v>
      </c>
      <c r="C45" s="29" t="s">
        <v>67</v>
      </c>
      <c r="D45" s="30">
        <v>25</v>
      </c>
      <c r="E45" s="46">
        <v>10</v>
      </c>
      <c r="F45" s="46">
        <f>Data[[#This Row],[Estimated quantity]]*Data[[#This Row],[Estimated cost per unit]]</f>
        <v>250</v>
      </c>
      <c r="G45" s="31" t="s">
        <v>88</v>
      </c>
    </row>
    <row r="46" spans="2:7" ht="27.95" customHeight="1" thickTop="1" thickBot="1" x14ac:dyDescent="0.25">
      <c r="B46" s="39" t="s">
        <v>29</v>
      </c>
      <c r="C46" s="32" t="s">
        <v>68</v>
      </c>
      <c r="D46" s="33">
        <v>25</v>
      </c>
      <c r="E46" s="45">
        <v>5</v>
      </c>
      <c r="F46" s="45">
        <f>Data[[#This Row],[Estimated quantity]]*Data[[#This Row],[Estimated cost per unit]]</f>
        <v>125</v>
      </c>
      <c r="G46" s="34" t="s">
        <v>88</v>
      </c>
    </row>
    <row r="47" spans="2:7" ht="27.95" customHeight="1" thickTop="1" thickBot="1" x14ac:dyDescent="0.25">
      <c r="B47" s="40" t="s">
        <v>30</v>
      </c>
      <c r="C47" s="29" t="s">
        <v>69</v>
      </c>
      <c r="D47" s="30">
        <v>50</v>
      </c>
      <c r="E47" s="46">
        <v>8</v>
      </c>
      <c r="F47" s="46">
        <f>Data[[#This Row],[Estimated quantity]]*Data[[#This Row],[Estimated cost per unit]]</f>
        <v>400</v>
      </c>
      <c r="G47" s="31"/>
    </row>
    <row r="48" spans="2:7" ht="27.95" customHeight="1" thickTop="1" thickBot="1" x14ac:dyDescent="0.25">
      <c r="B48" s="39" t="s">
        <v>30</v>
      </c>
      <c r="C48" s="32" t="s">
        <v>70</v>
      </c>
      <c r="D48" s="33">
        <v>300</v>
      </c>
      <c r="E48" s="45">
        <v>3</v>
      </c>
      <c r="F48" s="45">
        <f>Data[[#This Row],[Estimated quantity]]*Data[[#This Row],[Estimated cost per unit]]</f>
        <v>900</v>
      </c>
      <c r="G48" s="34"/>
    </row>
    <row r="49" spans="2:7" ht="27.95" customHeight="1" thickTop="1" thickBot="1" x14ac:dyDescent="0.25">
      <c r="B49" s="40" t="s">
        <v>30</v>
      </c>
      <c r="C49" s="29" t="s">
        <v>71</v>
      </c>
      <c r="D49" s="30">
        <v>200</v>
      </c>
      <c r="E49" s="46">
        <v>2.5</v>
      </c>
      <c r="F49" s="46">
        <f>Data[[#This Row],[Estimated quantity]]*Data[[#This Row],[Estimated cost per unit]]</f>
        <v>500</v>
      </c>
      <c r="G49" s="31"/>
    </row>
    <row r="50" spans="2:7" ht="27.95" customHeight="1" thickTop="1" thickBot="1" x14ac:dyDescent="0.25">
      <c r="B50" s="39" t="s">
        <v>31</v>
      </c>
      <c r="C50" s="32" t="s">
        <v>72</v>
      </c>
      <c r="D50" s="33">
        <v>5000</v>
      </c>
      <c r="E50" s="45">
        <v>0.15</v>
      </c>
      <c r="F50" s="45">
        <f>Data[[#This Row],[Estimated quantity]]*Data[[#This Row],[Estimated cost per unit]]</f>
        <v>750</v>
      </c>
      <c r="G50" s="34"/>
    </row>
    <row r="51" spans="2:7" ht="27.95" customHeight="1" thickTop="1" thickBot="1" x14ac:dyDescent="0.25">
      <c r="B51" s="40" t="s">
        <v>31</v>
      </c>
      <c r="C51" s="29" t="s">
        <v>73</v>
      </c>
      <c r="D51" s="30">
        <v>15000</v>
      </c>
      <c r="E51" s="46">
        <v>0.04</v>
      </c>
      <c r="F51" s="46">
        <f>Data[[#This Row],[Estimated quantity]]*Data[[#This Row],[Estimated cost per unit]]</f>
        <v>600</v>
      </c>
      <c r="G51" s="31"/>
    </row>
    <row r="52" spans="2:7" ht="27.95" customHeight="1" thickTop="1" thickBot="1" x14ac:dyDescent="0.25">
      <c r="B52" s="39" t="s">
        <v>31</v>
      </c>
      <c r="C52" s="32" t="s">
        <v>74</v>
      </c>
      <c r="D52" s="33">
        <v>15000</v>
      </c>
      <c r="E52" s="45">
        <v>0.03</v>
      </c>
      <c r="F52" s="45">
        <f>Data[[#This Row],[Estimated quantity]]*Data[[#This Row],[Estimated cost per unit]]</f>
        <v>450</v>
      </c>
      <c r="G52" s="34"/>
    </row>
    <row r="53" spans="2:7" ht="27.95" customHeight="1" thickTop="1" thickBot="1" x14ac:dyDescent="0.25">
      <c r="B53" s="40" t="s">
        <v>31</v>
      </c>
      <c r="C53" s="29" t="s">
        <v>39</v>
      </c>
      <c r="D53" s="30">
        <v>2</v>
      </c>
      <c r="E53" s="46">
        <v>600</v>
      </c>
      <c r="F53" s="46">
        <f>Data[[#This Row],[Estimated quantity]]*Data[[#This Row],[Estimated cost per unit]]</f>
        <v>1200</v>
      </c>
      <c r="G53" s="31"/>
    </row>
    <row r="54" spans="2:7" ht="27.95" customHeight="1" thickTop="1" thickBot="1" x14ac:dyDescent="0.25">
      <c r="B54" s="39" t="s">
        <v>31</v>
      </c>
      <c r="C54" s="32" t="s">
        <v>40</v>
      </c>
      <c r="D54" s="33">
        <v>4</v>
      </c>
      <c r="E54" s="45">
        <v>300</v>
      </c>
      <c r="F54" s="45">
        <f>Data[[#This Row],[Estimated quantity]]*Data[[#This Row],[Estimated cost per unit]]</f>
        <v>1200</v>
      </c>
      <c r="G54" s="34"/>
    </row>
    <row r="55" spans="2:7" ht="27.95" customHeight="1" thickTop="1" thickBot="1" x14ac:dyDescent="0.25">
      <c r="B55" s="40" t="s">
        <v>31</v>
      </c>
      <c r="C55" s="29" t="s">
        <v>75</v>
      </c>
      <c r="D55" s="30">
        <v>6</v>
      </c>
      <c r="E55" s="46">
        <v>220</v>
      </c>
      <c r="F55" s="46">
        <f>Data[[#This Row],[Estimated quantity]]*Data[[#This Row],[Estimated cost per unit]]</f>
        <v>1320</v>
      </c>
      <c r="G55" s="31"/>
    </row>
    <row r="56" spans="2:7" ht="27.95" customHeight="1" thickTop="1" thickBot="1" x14ac:dyDescent="0.25">
      <c r="B56" s="39" t="s">
        <v>31</v>
      </c>
      <c r="C56" s="32" t="s">
        <v>76</v>
      </c>
      <c r="D56" s="33">
        <v>2</v>
      </c>
      <c r="E56" s="45">
        <v>556</v>
      </c>
      <c r="F56" s="45">
        <f>Data[[#This Row],[Estimated quantity]]*Data[[#This Row],[Estimated cost per unit]]</f>
        <v>1112</v>
      </c>
      <c r="G56" s="34"/>
    </row>
    <row r="57" spans="2:7" ht="27.95" customHeight="1" thickTop="1" thickBot="1" x14ac:dyDescent="0.25">
      <c r="B57" s="40" t="s">
        <v>31</v>
      </c>
      <c r="C57" s="29" t="s">
        <v>77</v>
      </c>
      <c r="D57" s="30">
        <v>3</v>
      </c>
      <c r="E57" s="46">
        <v>125</v>
      </c>
      <c r="F57" s="46">
        <f>Data[[#This Row],[Estimated quantity]]*Data[[#This Row],[Estimated cost per unit]]</f>
        <v>375</v>
      </c>
      <c r="G57" s="31"/>
    </row>
    <row r="58" spans="2:7" ht="27.95" customHeight="1" thickTop="1" thickBot="1" x14ac:dyDescent="0.25">
      <c r="B58" s="39" t="s">
        <v>32</v>
      </c>
      <c r="C58" s="32" t="s">
        <v>78</v>
      </c>
      <c r="D58" s="33">
        <v>3</v>
      </c>
      <c r="E58" s="45">
        <v>200</v>
      </c>
      <c r="F58" s="45">
        <f>Data[[#This Row],[Estimated quantity]]*Data[[#This Row],[Estimated cost per unit]]</f>
        <v>600</v>
      </c>
      <c r="G58" s="34"/>
    </row>
    <row r="59" spans="2:7" ht="27.95" customHeight="1" thickTop="1" thickBot="1" x14ac:dyDescent="0.25">
      <c r="B59" s="40" t="s">
        <v>32</v>
      </c>
      <c r="C59" s="29" t="s">
        <v>31</v>
      </c>
      <c r="D59" s="30">
        <v>4</v>
      </c>
      <c r="E59" s="46">
        <v>200</v>
      </c>
      <c r="F59" s="46">
        <f>Data[[#This Row],[Estimated quantity]]*Data[[#This Row],[Estimated cost per unit]]</f>
        <v>800</v>
      </c>
      <c r="G59" s="31"/>
    </row>
    <row r="60" spans="2:7" ht="27.95" customHeight="1" thickTop="1" thickBot="1" x14ac:dyDescent="0.25">
      <c r="B60" s="39" t="s">
        <v>32</v>
      </c>
      <c r="C60" s="32" t="s">
        <v>79</v>
      </c>
      <c r="D60" s="33">
        <v>6</v>
      </c>
      <c r="E60" s="45">
        <v>200</v>
      </c>
      <c r="F60" s="45">
        <f>Data[[#This Row],[Estimated quantity]]*Data[[#This Row],[Estimated cost per unit]]</f>
        <v>1200</v>
      </c>
      <c r="G60" s="34"/>
    </row>
    <row r="61" spans="2:7" ht="27.95" customHeight="1" thickTop="1" thickBot="1" x14ac:dyDescent="0.25">
      <c r="B61" s="40" t="s">
        <v>32</v>
      </c>
      <c r="C61" s="29" t="s">
        <v>80</v>
      </c>
      <c r="D61" s="30">
        <v>3</v>
      </c>
      <c r="E61" s="46">
        <v>200</v>
      </c>
      <c r="F61" s="46">
        <f>Data[[#This Row],[Estimated quantity]]*Data[[#This Row],[Estimated cost per unit]]</f>
        <v>600</v>
      </c>
      <c r="G61" s="31"/>
    </row>
    <row r="62" spans="2:7" ht="27.95" customHeight="1" thickTop="1" x14ac:dyDescent="0.2"/>
    <row r="63" spans="2:7" ht="27.95" customHeight="1" x14ac:dyDescent="0.2"/>
    <row r="64" spans="2:7" ht="27.95" customHeight="1" x14ac:dyDescent="0.2"/>
    <row r="65" ht="27.95" customHeight="1" x14ac:dyDescent="0.2"/>
    <row r="66" ht="27.95" customHeight="1" x14ac:dyDescent="0.2"/>
    <row r="67" ht="27.95" customHeight="1" x14ac:dyDescent="0.2"/>
    <row r="68" ht="27.95" customHeight="1" x14ac:dyDescent="0.2"/>
    <row r="69" ht="27.95" customHeight="1" x14ac:dyDescent="0.2"/>
    <row r="70" ht="27.95" customHeight="1" x14ac:dyDescent="0.2"/>
    <row r="71" ht="27.95" customHeight="1" x14ac:dyDescent="0.2"/>
    <row r="72" ht="27.95" customHeight="1" x14ac:dyDescent="0.2"/>
    <row r="73" ht="27.95" customHeight="1" x14ac:dyDescent="0.2"/>
    <row r="74" ht="27.95" customHeight="1" x14ac:dyDescent="0.2"/>
    <row r="75" ht="27.95" customHeight="1" x14ac:dyDescent="0.2"/>
    <row r="76" ht="27.95" customHeight="1" x14ac:dyDescent="0.2"/>
    <row r="77" ht="27.95" customHeight="1" x14ac:dyDescent="0.2"/>
    <row r="78" ht="27.95" customHeight="1" x14ac:dyDescent="0.2"/>
    <row r="79" ht="27.95" customHeight="1" x14ac:dyDescent="0.2"/>
    <row r="80" ht="27.95" customHeight="1" x14ac:dyDescent="0.2"/>
    <row r="81" ht="27.95" customHeight="1" x14ac:dyDescent="0.2"/>
    <row r="82" ht="27.95" customHeight="1" x14ac:dyDescent="0.2"/>
    <row r="83" ht="27.95" customHeight="1" x14ac:dyDescent="0.2"/>
    <row r="84" ht="27.95" customHeight="1" x14ac:dyDescent="0.2"/>
    <row r="85" ht="27.95" customHeight="1" x14ac:dyDescent="0.2"/>
    <row r="86" ht="27.95" customHeight="1" x14ac:dyDescent="0.2"/>
    <row r="87" ht="27.95" customHeight="1" x14ac:dyDescent="0.2"/>
    <row r="88" ht="27.95" customHeight="1" x14ac:dyDescent="0.2"/>
  </sheetData>
  <mergeCells count="5">
    <mergeCell ref="E3:G8"/>
    <mergeCell ref="B7:C7"/>
    <mergeCell ref="B5:C5"/>
    <mergeCell ref="B6:C6"/>
    <mergeCell ref="B4:C4"/>
  </mergeCells>
  <printOptions horizontalCentered="1"/>
  <pageMargins left="0.4" right="0.4" top="0.4" bottom="0.4" header="0.25" footer="0.25"/>
  <pageSetup paperSize="9" fitToHeight="0" orientation="portrait" r:id="rId1"/>
  <headerFooter differentFirst="1">
    <oddFooter>&amp;CPage &amp;P of &amp;N</oddFooter>
  </headerFooter>
  <ignoredErrors>
    <ignoredError sqref="D5 D7" emptyCellReference="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8" tint="-0.499984740745262"/>
    <pageSetUpPr autoPageBreaks="0" fitToPage="1"/>
  </sheetPr>
  <dimension ref="A1:N30"/>
  <sheetViews>
    <sheetView showGridLines="0" workbookViewId="0"/>
  </sheetViews>
  <sheetFormatPr defaultColWidth="9.140625" defaultRowHeight="12.75" x14ac:dyDescent="0.2"/>
  <cols>
    <col min="1" max="1" width="3.28515625" style="27" customWidth="1"/>
    <col min="2" max="2" width="21.5703125" style="3" customWidth="1"/>
    <col min="3" max="3" width="20.7109375" style="3" customWidth="1"/>
    <col min="4" max="13" width="18.42578125" style="3" customWidth="1"/>
    <col min="14" max="16384" width="9.140625" style="3"/>
  </cols>
  <sheetData>
    <row r="1" spans="1:14" ht="15" customHeight="1" x14ac:dyDescent="0.2">
      <c r="A1" s="26" t="s">
        <v>89</v>
      </c>
      <c r="B1" s="9"/>
      <c r="C1" s="9"/>
      <c r="D1" s="9"/>
      <c r="E1" s="9"/>
      <c r="F1" s="9"/>
      <c r="G1" s="9"/>
      <c r="H1" s="1"/>
    </row>
    <row r="2" spans="1:14" s="17" customFormat="1" ht="36.75" customHeight="1" x14ac:dyDescent="0.2">
      <c r="A2" s="26" t="s">
        <v>8</v>
      </c>
      <c r="B2" s="20" t="s">
        <v>16</v>
      </c>
      <c r="C2" s="21"/>
      <c r="D2" s="21"/>
      <c r="E2" s="21"/>
      <c r="F2" s="21"/>
      <c r="G2" s="22"/>
      <c r="H2" s="21"/>
      <c r="I2" s="16"/>
      <c r="J2" s="16"/>
      <c r="K2" s="16"/>
      <c r="L2" s="16"/>
      <c r="M2" s="16"/>
    </row>
    <row r="3" spans="1:14" s="17" customFormat="1" ht="12.75" customHeight="1" x14ac:dyDescent="0.2">
      <c r="A3" s="26"/>
      <c r="B3" s="20"/>
      <c r="C3" s="21"/>
      <c r="D3" s="21"/>
      <c r="E3" s="21"/>
      <c r="F3" s="21"/>
      <c r="G3" s="22"/>
      <c r="H3" s="21"/>
      <c r="I3" s="16"/>
      <c r="J3" s="16"/>
      <c r="K3" s="16"/>
      <c r="L3" s="16"/>
      <c r="M3" s="16"/>
    </row>
    <row r="4" spans="1:14" s="4" customFormat="1" ht="409.5" x14ac:dyDescent="0.2">
      <c r="A4" s="27" t="s">
        <v>90</v>
      </c>
      <c r="B4" s="14"/>
      <c r="C4" s="57" t="s">
        <v>22</v>
      </c>
      <c r="D4" s="53"/>
      <c r="E4" s="55"/>
      <c r="F4" s="53"/>
      <c r="G4" s="55"/>
      <c r="H4" s="53"/>
      <c r="I4" s="55"/>
      <c r="J4" s="53"/>
      <c r="K4" s="55"/>
      <c r="L4" s="53"/>
      <c r="M4" s="55"/>
      <c r="N4"/>
    </row>
    <row r="5" spans="1:14" s="4" customFormat="1" ht="25.5" x14ac:dyDescent="0.2">
      <c r="A5" s="27"/>
      <c r="B5" s="14"/>
      <c r="C5" s="56" t="s">
        <v>28</v>
      </c>
      <c r="D5" s="54" t="s">
        <v>31</v>
      </c>
      <c r="E5" s="56" t="s">
        <v>27</v>
      </c>
      <c r="F5" s="54" t="s">
        <v>24</v>
      </c>
      <c r="G5" s="56" t="s">
        <v>26</v>
      </c>
      <c r="H5" s="54" t="s">
        <v>29</v>
      </c>
      <c r="I5" s="56" t="s">
        <v>25</v>
      </c>
      <c r="J5" s="54" t="s">
        <v>30</v>
      </c>
      <c r="K5" s="56" t="s">
        <v>32</v>
      </c>
      <c r="L5" s="54" t="s">
        <v>23</v>
      </c>
      <c r="M5" s="56" t="s">
        <v>93</v>
      </c>
      <c r="N5"/>
    </row>
    <row r="6" spans="1:14" ht="24" customHeight="1" x14ac:dyDescent="0.2">
      <c r="B6" s="15" t="s">
        <v>84</v>
      </c>
      <c r="C6" s="47">
        <v>0</v>
      </c>
      <c r="D6" s="47">
        <v>7007</v>
      </c>
      <c r="E6" s="47">
        <v>357</v>
      </c>
      <c r="F6" s="47">
        <v>25650</v>
      </c>
      <c r="G6" s="47">
        <v>2500</v>
      </c>
      <c r="H6" s="47">
        <v>375</v>
      </c>
      <c r="I6" s="47">
        <v>254</v>
      </c>
      <c r="J6" s="47">
        <v>1800</v>
      </c>
      <c r="K6" s="47">
        <v>3200</v>
      </c>
      <c r="L6" s="47">
        <v>7100</v>
      </c>
      <c r="M6" s="47">
        <v>48243</v>
      </c>
    </row>
    <row r="7" spans="1:14" x14ac:dyDescent="0.2">
      <c r="B7"/>
      <c r="C7"/>
    </row>
    <row r="8" spans="1:14" s="17" customFormat="1" ht="300" customHeight="1" x14ac:dyDescent="0.2">
      <c r="A8" s="26" t="s">
        <v>91</v>
      </c>
      <c r="B8" s="52" t="s">
        <v>92</v>
      </c>
      <c r="C8" s="52"/>
      <c r="D8" s="52"/>
      <c r="E8" s="52"/>
      <c r="F8" s="52"/>
      <c r="G8" s="52"/>
      <c r="H8" s="52"/>
      <c r="I8" s="52"/>
      <c r="J8" s="52"/>
      <c r="K8" s="52"/>
      <c r="L8" s="52"/>
      <c r="M8" s="52"/>
    </row>
    <row r="9" spans="1:14" x14ac:dyDescent="0.2">
      <c r="B9" s="18"/>
      <c r="C9" s="18"/>
      <c r="D9" s="18"/>
      <c r="E9" s="18"/>
      <c r="F9" s="18"/>
      <c r="G9" s="18"/>
      <c r="H9" s="18"/>
      <c r="I9" s="18"/>
      <c r="J9" s="18"/>
      <c r="K9" s="18"/>
      <c r="L9" s="18"/>
      <c r="M9" s="18"/>
    </row>
    <row r="10" spans="1:14" x14ac:dyDescent="0.2">
      <c r="B10" s="18"/>
      <c r="C10" s="18"/>
      <c r="D10" s="18"/>
      <c r="E10" s="18"/>
      <c r="F10" s="18"/>
      <c r="G10" s="18"/>
      <c r="H10" s="18"/>
      <c r="I10" s="18"/>
      <c r="J10" s="18"/>
      <c r="K10" s="18"/>
      <c r="L10" s="18"/>
      <c r="M10" s="18"/>
    </row>
    <row r="11" spans="1:14" x14ac:dyDescent="0.2">
      <c r="B11" s="18"/>
      <c r="C11" s="18"/>
      <c r="D11" s="18"/>
      <c r="E11" s="18"/>
      <c r="F11" s="18"/>
      <c r="G11" s="18"/>
      <c r="H11" s="18"/>
      <c r="I11" s="18"/>
      <c r="J11" s="18"/>
      <c r="K11" s="18"/>
      <c r="L11" s="18"/>
      <c r="M11" s="18"/>
    </row>
    <row r="12" spans="1:14" x14ac:dyDescent="0.2">
      <c r="B12" s="18"/>
      <c r="C12" s="18"/>
      <c r="D12" s="18"/>
      <c r="E12" s="18"/>
      <c r="F12" s="18"/>
      <c r="G12" s="18"/>
      <c r="H12" s="18"/>
      <c r="I12" s="18"/>
      <c r="J12" s="18"/>
      <c r="K12" s="18"/>
      <c r="L12" s="18"/>
      <c r="M12" s="18"/>
    </row>
    <row r="13" spans="1:14" x14ac:dyDescent="0.2">
      <c r="B13" s="18"/>
      <c r="C13" s="18"/>
      <c r="D13" s="18"/>
      <c r="E13" s="18"/>
      <c r="F13" s="18"/>
      <c r="G13" s="18"/>
      <c r="H13" s="18"/>
      <c r="I13" s="18"/>
      <c r="J13" s="18"/>
      <c r="K13" s="18"/>
      <c r="L13" s="18"/>
      <c r="M13" s="18"/>
    </row>
    <row r="14" spans="1:14" x14ac:dyDescent="0.2">
      <c r="B14" s="18"/>
      <c r="C14" s="18"/>
      <c r="D14" s="18"/>
      <c r="E14" s="18"/>
      <c r="F14" s="18"/>
      <c r="G14" s="18"/>
      <c r="H14" s="18"/>
      <c r="I14" s="18"/>
      <c r="J14" s="18"/>
      <c r="K14" s="18"/>
      <c r="L14" s="18"/>
      <c r="M14" s="18"/>
    </row>
    <row r="15" spans="1:14" x14ac:dyDescent="0.2">
      <c r="B15" s="18"/>
      <c r="C15" s="18"/>
      <c r="D15" s="18"/>
      <c r="E15" s="18"/>
      <c r="F15" s="18"/>
      <c r="G15" s="18"/>
      <c r="H15" s="18"/>
      <c r="I15" s="18"/>
      <c r="J15" s="18"/>
      <c r="K15" s="18"/>
      <c r="L15" s="18"/>
      <c r="M15" s="18"/>
    </row>
    <row r="16" spans="1:14" x14ac:dyDescent="0.2">
      <c r="B16" s="18"/>
      <c r="C16" s="18"/>
      <c r="D16" s="18"/>
      <c r="E16" s="18"/>
      <c r="F16" s="18"/>
      <c r="G16" s="18"/>
      <c r="H16" s="18"/>
      <c r="I16" s="18"/>
      <c r="J16" s="18"/>
      <c r="K16" s="18"/>
      <c r="L16" s="18"/>
      <c r="M16" s="18"/>
    </row>
    <row r="17" spans="2:13" x14ac:dyDescent="0.2">
      <c r="B17" s="18"/>
      <c r="C17" s="18"/>
      <c r="D17" s="18"/>
      <c r="E17" s="18"/>
      <c r="F17" s="18"/>
      <c r="G17" s="18"/>
      <c r="H17" s="18"/>
      <c r="I17" s="18"/>
      <c r="J17" s="18"/>
      <c r="K17" s="18"/>
      <c r="L17" s="18"/>
      <c r="M17" s="18"/>
    </row>
    <row r="18" spans="2:13" x14ac:dyDescent="0.2">
      <c r="B18" s="18"/>
      <c r="C18" s="18"/>
      <c r="D18" s="18"/>
      <c r="E18" s="18"/>
      <c r="F18" s="18"/>
      <c r="G18" s="18"/>
      <c r="H18" s="18"/>
      <c r="I18" s="18"/>
      <c r="J18" s="18"/>
      <c r="K18" s="18"/>
      <c r="L18" s="18"/>
      <c r="M18" s="18"/>
    </row>
    <row r="19" spans="2:13" x14ac:dyDescent="0.2">
      <c r="B19" s="18"/>
      <c r="C19" s="18"/>
      <c r="D19" s="18"/>
      <c r="E19" s="18"/>
      <c r="F19" s="18"/>
      <c r="G19" s="18"/>
      <c r="H19" s="18"/>
      <c r="I19" s="18"/>
      <c r="J19" s="18"/>
      <c r="K19" s="18"/>
      <c r="L19" s="18"/>
      <c r="M19" s="18"/>
    </row>
    <row r="20" spans="2:13" x14ac:dyDescent="0.2">
      <c r="B20" s="18"/>
      <c r="C20" s="18"/>
      <c r="D20" s="18"/>
      <c r="E20" s="18"/>
      <c r="F20" s="18"/>
      <c r="G20" s="18"/>
      <c r="H20" s="18"/>
      <c r="I20" s="18"/>
      <c r="J20" s="18"/>
      <c r="K20" s="18"/>
      <c r="L20" s="18"/>
      <c r="M20" s="18"/>
    </row>
    <row r="21" spans="2:13" x14ac:dyDescent="0.2">
      <c r="B21" s="18"/>
      <c r="C21" s="18"/>
      <c r="D21" s="18"/>
      <c r="E21" s="18"/>
      <c r="F21" s="18"/>
      <c r="G21" s="18"/>
      <c r="H21" s="18"/>
      <c r="I21" s="18"/>
      <c r="J21" s="18"/>
      <c r="K21" s="18"/>
      <c r="L21" s="18"/>
      <c r="M21" s="18"/>
    </row>
    <row r="22" spans="2:13" x14ac:dyDescent="0.2">
      <c r="B22" s="18"/>
      <c r="C22" s="18"/>
      <c r="D22" s="18"/>
      <c r="E22" s="18"/>
      <c r="F22" s="18"/>
      <c r="G22" s="18"/>
      <c r="H22" s="18"/>
      <c r="I22" s="18"/>
      <c r="J22" s="18"/>
      <c r="K22" s="18"/>
      <c r="L22" s="18"/>
      <c r="M22" s="18"/>
    </row>
    <row r="23" spans="2:13" x14ac:dyDescent="0.2">
      <c r="B23" s="18"/>
      <c r="C23" s="18"/>
      <c r="D23" s="18"/>
      <c r="E23" s="18"/>
      <c r="F23" s="18"/>
      <c r="G23" s="18"/>
      <c r="H23" s="18"/>
      <c r="I23" s="18"/>
      <c r="J23" s="18"/>
      <c r="K23" s="18"/>
      <c r="L23" s="18"/>
      <c r="M23" s="18"/>
    </row>
    <row r="24" spans="2:13" x14ac:dyDescent="0.2">
      <c r="B24" s="18"/>
      <c r="C24" s="18"/>
      <c r="D24" s="18"/>
      <c r="E24" s="18"/>
      <c r="F24" s="18"/>
      <c r="G24" s="18"/>
      <c r="H24" s="18"/>
      <c r="I24" s="18"/>
      <c r="J24" s="18"/>
      <c r="K24" s="18"/>
      <c r="L24" s="18"/>
      <c r="M24" s="18"/>
    </row>
    <row r="25" spans="2:13" x14ac:dyDescent="0.2">
      <c r="B25" s="18"/>
      <c r="C25" s="18"/>
      <c r="D25" s="18"/>
      <c r="E25" s="18"/>
      <c r="F25" s="18"/>
      <c r="G25" s="18"/>
      <c r="H25" s="18"/>
      <c r="I25" s="18"/>
      <c r="J25" s="18"/>
      <c r="K25" s="18"/>
      <c r="L25" s="18"/>
      <c r="M25" s="18"/>
    </row>
    <row r="26" spans="2:13" x14ac:dyDescent="0.2">
      <c r="B26" s="18"/>
      <c r="C26" s="18"/>
      <c r="D26" s="18"/>
      <c r="E26" s="18"/>
      <c r="F26" s="18"/>
      <c r="G26" s="18"/>
      <c r="H26" s="18"/>
      <c r="I26" s="18"/>
      <c r="J26" s="18"/>
      <c r="K26" s="18"/>
      <c r="L26" s="18"/>
      <c r="M26" s="18"/>
    </row>
    <row r="27" spans="2:13" x14ac:dyDescent="0.2">
      <c r="B27" s="18"/>
      <c r="C27" s="18"/>
      <c r="D27" s="18"/>
      <c r="E27" s="18"/>
      <c r="F27" s="18"/>
      <c r="G27" s="18"/>
      <c r="H27" s="18"/>
      <c r="I27" s="18"/>
      <c r="J27" s="18"/>
      <c r="K27" s="18"/>
      <c r="L27" s="18"/>
      <c r="M27" s="18"/>
    </row>
    <row r="28" spans="2:13" x14ac:dyDescent="0.2">
      <c r="B28" s="18"/>
      <c r="C28" s="18"/>
      <c r="D28" s="18"/>
      <c r="E28" s="18"/>
      <c r="F28" s="18"/>
      <c r="G28" s="18"/>
      <c r="H28" s="18"/>
      <c r="I28" s="18"/>
      <c r="J28" s="18"/>
      <c r="K28" s="18"/>
      <c r="L28" s="18"/>
      <c r="M28" s="18"/>
    </row>
    <row r="29" spans="2:13" x14ac:dyDescent="0.2">
      <c r="B29" s="18"/>
      <c r="C29" s="18"/>
      <c r="D29" s="18"/>
      <c r="E29" s="18"/>
      <c r="F29" s="18"/>
      <c r="G29" s="18"/>
      <c r="H29" s="18"/>
      <c r="I29" s="18"/>
      <c r="J29" s="18"/>
      <c r="K29" s="18"/>
      <c r="L29" s="18"/>
      <c r="M29" s="18"/>
    </row>
    <row r="30" spans="2:13" x14ac:dyDescent="0.2">
      <c r="B30" s="18"/>
      <c r="C30" s="18"/>
      <c r="D30" s="18"/>
      <c r="E30" s="18"/>
      <c r="F30" s="18"/>
      <c r="G30" s="18"/>
      <c r="H30" s="18"/>
      <c r="I30" s="18"/>
      <c r="J30" s="18"/>
      <c r="K30" s="18"/>
      <c r="L30" s="18"/>
      <c r="M30" s="18"/>
    </row>
  </sheetData>
  <mergeCells count="1">
    <mergeCell ref="B8:M8"/>
  </mergeCells>
  <printOptions horizontalCentered="1"/>
  <pageMargins left="0.4" right="0.4" top="0.4" bottom="0.4" header="0.25" footer="0.25"/>
  <pageSetup paperSize="9" fitToHeight="0" orientation="portrait" r:id="rId2"/>
  <headerFooter differentFirst="1">
    <oddFooter>&amp;CPage &amp;P of &amp;N</oddFooter>
  </headerFooter>
  <drawing r:id="rId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START</vt:lpstr>
      <vt:lpstr>MARKETING BUDGET PLAN</vt:lpstr>
      <vt:lpstr>CATEGORY CHART</vt:lpstr>
      <vt:lpstr>EventCosts</vt:lpstr>
      <vt:lpstr>NumberOfAttendees</vt:lpstr>
      <vt:lpstr>'MARKETING BUDGET PLAN'!Print_Titles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2018-06-21T11:35:29Z</dcterms:created>
  <dcterms:modified xsi:type="dcterms:W3CDTF">2019-05-31T02:02:42Z</dcterms:modified>
</cp:coreProperties>
</file>

<file path=docProps/custom.xml><?xml version="1.0" encoding="utf-8"?>
<Properties xmlns="http://schemas.openxmlformats.org/officeDocument/2006/custom-properties" xmlns:vt="http://schemas.openxmlformats.org/officeDocument/2006/docPropsVTypes"/>
</file>