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8431"/>
  <workbookPr filterPrivacy="1"/>
  <bookViews>
    <workbookView xWindow="0" yWindow="0" windowWidth="28800" windowHeight="12195"/>
  </bookViews>
  <sheets>
    <sheet name="Milestones" sheetId="1" r:id="rId1"/>
    <sheet name="Roadmap" sheetId="4" r:id="rId2"/>
    <sheet name="About" sheetId="2" r:id="rId3"/>
    <sheet name="Chart data" sheetId="5" state="hidden" r:id="rId4"/>
  </sheets>
  <definedNames>
    <definedName name="ChartYear">YEAR('Chart data'!$B$4)</definedName>
    <definedName name="_xlnm.Print_Titles" localSheetId="0">Milestones!$2:$2</definedName>
  </definedNames>
  <calcPr calcId="17102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3" i="1" l="1"/>
  <c r="B4" i="1"/>
  <c r="C5" i="5" s="1"/>
  <c r="B5" i="1"/>
  <c r="B6" i="1"/>
  <c r="B7" i="1"/>
  <c r="B8" i="1"/>
  <c r="B9" i="1"/>
  <c r="B10" i="1"/>
  <c r="B11" i="1"/>
  <c r="B12" i="1"/>
  <c r="B13" i="1"/>
  <c r="B14" i="1"/>
  <c r="B15" i="1"/>
  <c r="B16" i="1"/>
  <c r="B17" i="1"/>
  <c r="B18" i="1"/>
  <c r="B19" i="1"/>
  <c r="B20" i="1"/>
  <c r="B21" i="1"/>
  <c r="B22" i="1"/>
  <c r="B23" i="1"/>
  <c r="B24" i="1"/>
  <c r="B25" i="1"/>
  <c r="B26" i="1"/>
  <c r="D3" i="1"/>
  <c r="C11" i="5" l="1"/>
  <c r="D11" i="5"/>
  <c r="C7" i="5"/>
  <c r="D7" i="5"/>
  <c r="C10" i="5"/>
  <c r="D10" i="5"/>
  <c r="C6" i="5"/>
  <c r="D6" i="5"/>
  <c r="C13" i="5"/>
  <c r="D13" i="5"/>
  <c r="C9" i="5"/>
  <c r="D9" i="5"/>
  <c r="C12" i="5"/>
  <c r="D12" i="5"/>
  <c r="C8" i="5"/>
  <c r="D8" i="5"/>
  <c r="C4" i="5"/>
  <c r="D4" i="5"/>
  <c r="D5" i="5"/>
  <c r="D4" i="1"/>
  <c r="D5" i="1" l="1"/>
  <c r="D6" i="1" l="1"/>
  <c r="D7" i="1" l="1"/>
  <c r="D8" i="1" l="1"/>
  <c r="D9" i="1" l="1"/>
  <c r="D10" i="1" l="1"/>
  <c r="D11" i="1" l="1"/>
  <c r="D12" i="1" l="1"/>
  <c r="D13" i="1" l="1"/>
  <c r="B4" i="5" l="1"/>
  <c r="D14" i="1"/>
  <c r="B5" i="5" l="1"/>
  <c r="B20" i="5"/>
  <c r="B3" i="4" s="1"/>
  <c r="C24" i="5"/>
  <c r="D15" i="1"/>
  <c r="B6" i="5" l="1"/>
  <c r="D16" i="1"/>
  <c r="B7" i="5" l="1"/>
  <c r="D17" i="1"/>
  <c r="B8" i="5" s="1"/>
  <c r="D18" i="1" l="1"/>
  <c r="B9" i="5" s="1"/>
  <c r="B21" i="5" l="1"/>
  <c r="C3" i="4" s="1"/>
  <c r="C25" i="5"/>
  <c r="D19" i="1"/>
  <c r="B10" i="5" s="1"/>
  <c r="D20" i="1" l="1"/>
  <c r="B11" i="5" s="1"/>
  <c r="D21" i="1" l="1"/>
  <c r="D22" i="1" l="1"/>
  <c r="B12" i="5"/>
  <c r="D23" i="1" l="1"/>
  <c r="D24" i="1" s="1"/>
  <c r="D25" i="1" s="1"/>
  <c r="D26" i="1" s="1"/>
  <c r="B13" i="5"/>
  <c r="C26" i="5" l="1"/>
  <c r="B22" i="5"/>
  <c r="D3" i="4" s="1"/>
</calcChain>
</file>

<file path=xl/sharedStrings.xml><?xml version="1.0" encoding="utf-8"?>
<sst xmlns="http://schemas.openxmlformats.org/spreadsheetml/2006/main" count="60" uniqueCount="55">
  <si>
    <t>Create a Roadmap by entering important milestones and activities in this worksheet.
The title of this worksheet is in cell C1. 
Information about how to use this worksheet, including instructions for screen readers is in the About worksheet.
Continue navigating down column A for further instructions.</t>
  </si>
  <si>
    <t>Table headings are in cells C2 to E2. Use Sort &amp; Filter options to sort or find specific entries.
Enter Milestones with dates and set a position for charting the milestone, in the table starting in cell C3.
Column B has been hidden. The chart generated from this data using a scrollbar to view chunks of the timeline. Column B helps determine which Milestones to chart when the scrollbar is incremented. 
Warning: Deleting or modifying column B contents may disrupt the integrity of the charting built into this workbook.</t>
  </si>
  <si>
    <t>Enter the Position for charting the date and milestone in cell C1. Enter a positive number between 1 and 3 to chart the milestone above the timeline. Enter a negative number between 1 and 3 to chart the milestone below the timeline.
Enter the Date and Milestone or activity in column D and E within the table.
Repeat this pattern for each new row in the table at right.
Sample data is provided in rows 3 to 26. Modify or delete sample content to create your own roadmap.
Continue to cell A27 for the next instruction.</t>
  </si>
  <si>
    <t>To add more rows to the Roadmap Milestones table, simply insert a new row above this one.
There are no further instructions in this worksheet.</t>
  </si>
  <si>
    <t>No.</t>
  </si>
  <si>
    <t>Milestones</t>
  </si>
  <si>
    <t>Position</t>
  </si>
  <si>
    <t>To add more milestones, insert new rows above this line.</t>
  </si>
  <si>
    <t>Date</t>
  </si>
  <si>
    <t>Milestone</t>
  </si>
  <si>
    <t>Start</t>
  </si>
  <si>
    <t>Problem analysis
activity 1</t>
  </si>
  <si>
    <t>Develop business case
activity 1
activity 2</t>
  </si>
  <si>
    <t>Review presentation</t>
  </si>
  <si>
    <t>Exec kick-off
activity 1
activity 2</t>
  </si>
  <si>
    <t>Exec alignment
activity 1
activity 2
activity 3</t>
  </si>
  <si>
    <t>Stakeholder buy-in</t>
  </si>
  <si>
    <t>Resource selection</t>
  </si>
  <si>
    <t xml:space="preserve">Team creation
activity 1 </t>
  </si>
  <si>
    <t>Team kick-off
activity 1 
activity 2
activity 3
activity 4</t>
  </si>
  <si>
    <t>Start data collection</t>
  </si>
  <si>
    <t>Data analysis</t>
  </si>
  <si>
    <t>Design</t>
  </si>
  <si>
    <t>Proof of concept</t>
  </si>
  <si>
    <t>Test &amp; analysis</t>
  </si>
  <si>
    <t>Redesign</t>
  </si>
  <si>
    <t>Redevelop</t>
  </si>
  <si>
    <t>Final test</t>
  </si>
  <si>
    <t>Beta test</t>
  </si>
  <si>
    <t>Review</t>
  </si>
  <si>
    <t>Release to Marketing</t>
  </si>
  <si>
    <t>A chart displaying the milestones from Milestones worksheet is in this worksheet. 
Years are indicated in cells B2, C2 and D2 and have the style Heading 3 applied.
10 milestones are charted at a time. 
Use the scroll bar in cells B4 to D4 to navigate to the roadmap.
Timeline years are in cells B3 to D3.
There are no further instructions in this worksheet.</t>
  </si>
  <si>
    <t>About this workbook</t>
  </si>
  <si>
    <t>Guide for screen readers</t>
  </si>
  <si>
    <t xml:space="preserve">There are 4 worksheets in this workbook. 
Milestones
Roadmap
About
Chart data (hidden)
The instructions for each worksheet are in the A column starting in cell A1 of each worksheet. They are written with hidden text. Each step guides you to the information in that row. Each subsequent step continues in cell A2, A3 and so on, unless otherwise explicitly directed. For example, instruction text might say “continue to cell A6” for the next step. 
Hidden text will not print.
To remove these instructions from any worksheet, simply delete column A.
</t>
  </si>
  <si>
    <t xml:space="preserve">This roadmap uses positions to chart milestones and activities. Positions can be used to add weight to a milestone or activity. Simply adjust the values according to your weight preference. For example, milestone/activity 3 might have more weight than milestone/activity 2. To indicate this on the chart, simply make the Position value higher for milestone/activity 3 than for milestone/activity 2.  
</t>
  </si>
  <si>
    <t>This is the last instruction in this worksheet.</t>
  </si>
  <si>
    <t>Data for creating the dynamic charting is in this worksheet. Do not delete this worksheet!
Deleting this worksheet could compromise the dynamic capability of the workbook.</t>
  </si>
  <si>
    <t>Title for the table is in cell B2.</t>
  </si>
  <si>
    <t>Table headings are in cells B3 to D3. 
This table is auto-updated based on the content entered in the Milestones worksheet.
Warning: Modifying or deleting content in this table could compromise the dynamic update capability of the Roadmap chart in the Roadmap worksheet.
Continue to cell A15 for the next instruction.</t>
  </si>
  <si>
    <t>The ability to scroll to the roadmap is done with the help of an increment value. The title for this ability is in cell B15.
A table with a header and a single value is in cells B16 and B17.
Continue to cell A19 for the next instruction.</t>
  </si>
  <si>
    <t>The Roadmap chart plots the years for the timeline. To do this, the years must be captured from the Milestone List. 
The title for this section is “Year” in cell  B19. 
The year values are auto-generated in cells C20 to C22.
Warning: Deleting or modifying these years could change the charting accuracy of the Roadmap chart.
Continue to cell A24 for the next instruction.</t>
  </si>
  <si>
    <t>Doughnut markers in the Roadmap chart contain dates from the dynamic chart content in this worksheet. The dates are First date in cell C24, Middle date in cell C25, and last date in cell C26.
There are no further instructions in this worksheet.</t>
  </si>
  <si>
    <t>Do not delete this worksheet!</t>
  </si>
  <si>
    <t>Dynamic Chart content</t>
  </si>
  <si>
    <t>Scrolling capability</t>
  </si>
  <si>
    <t>Row Increment</t>
  </si>
  <si>
    <t>Year</t>
  </si>
  <si>
    <t>First date</t>
  </si>
  <si>
    <t>Middle date</t>
  </si>
  <si>
    <t>Last date</t>
  </si>
  <si>
    <t>Events</t>
  </si>
  <si>
    <t>&lt;-- year for the starting position of the roadmap</t>
  </si>
  <si>
    <t>&lt;-- year for the middle period of the roadmap, note, this may be blank if it’s the same year as the starting position of the roadmap</t>
  </si>
  <si>
    <t>&lt;-- year for the last position of the roadmap, note, this may be blank if it’s the same year as the starting position of the roadmap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</si>
</sst>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42" formatCode="_(&quot;$&quot;* #,##0_);_(&quot;$&quot;* \(#,##0\);_(&quot;$&quot;* &quot;-&quot;_);_(@_)"/>
    <numFmt numFmtId="41" formatCode="_(* #,##0_);_(* \(#,##0\);_(* &quot;-&quot;_);_(@_)"/>
    <numFmt numFmtId="44" formatCode="_(&quot;$&quot;* #,##0.00_);_(&quot;$&quot;* \(#,##0.00\);_(&quot;$&quot;* &quot;-&quot;??_);_(@_)"/>
    <numFmt numFmtId="164" formatCode="dd/mm/yyyy;@"/>
    <numFmt numFmtId="165" formatCode="[$-809]dd\ mmm;@"/>
  </numFmts>
  <fonts count="20" x14ac:knownFonts="1">
    <font>
      <sz val="11"/>
      <color theme="1"/>
      <name val="Franklin Gothic Book"/>
      <family val="2"/>
      <scheme val="minor"/>
    </font>
    <font>
      <sz val="11"/>
      <color theme="1"/>
      <name val="Franklin Gothic Book"/>
      <family val="2"/>
      <scheme val="minor"/>
    </font>
    <font>
      <sz val="11"/>
      <color theme="0"/>
      <name val="Franklin Gothic Book"/>
      <family val="2"/>
      <scheme val="minor"/>
    </font>
    <font>
      <b/>
      <sz val="12"/>
      <color theme="0"/>
      <name val="Franklin Gothic Book"/>
      <family val="2"/>
      <scheme val="minor"/>
    </font>
    <font>
      <b/>
      <sz val="18"/>
      <color theme="8"/>
      <name val="Franklin Gothic Book"/>
      <family val="2"/>
      <scheme val="minor"/>
    </font>
    <font>
      <b/>
      <sz val="12"/>
      <color theme="8"/>
      <name val="Franklin Gothic Book"/>
      <family val="2"/>
      <scheme val="minor"/>
    </font>
    <font>
      <sz val="11"/>
      <color theme="8" tint="0.79998168889431442"/>
      <name val="Franklin Gothic Book"/>
      <family val="2"/>
      <scheme val="minor"/>
    </font>
    <font>
      <sz val="18"/>
      <color theme="3"/>
      <name val="Franklin Gothic Medium"/>
      <family val="2"/>
      <scheme val="major"/>
    </font>
    <font>
      <b/>
      <sz val="11"/>
      <color theme="3"/>
      <name val="Franklin Gothic Book"/>
      <family val="2"/>
      <scheme val="minor"/>
    </font>
    <font>
      <sz val="11"/>
      <color rgb="FF006100"/>
      <name val="Franklin Gothic Book"/>
      <family val="2"/>
      <scheme val="minor"/>
    </font>
    <font>
      <sz val="11"/>
      <color rgb="FF9C0006"/>
      <name val="Franklin Gothic Book"/>
      <family val="2"/>
      <scheme val="minor"/>
    </font>
    <font>
      <sz val="11"/>
      <color rgb="FF9C5700"/>
      <name val="Franklin Gothic Book"/>
      <family val="2"/>
      <scheme val="minor"/>
    </font>
    <font>
      <sz val="11"/>
      <color rgb="FF3F3F76"/>
      <name val="Franklin Gothic Book"/>
      <family val="2"/>
      <scheme val="minor"/>
    </font>
    <font>
      <b/>
      <sz val="11"/>
      <color rgb="FF3F3F3F"/>
      <name val="Franklin Gothic Book"/>
      <family val="2"/>
      <scheme val="minor"/>
    </font>
    <font>
      <b/>
      <sz val="11"/>
      <color rgb="FFFA7D00"/>
      <name val="Franklin Gothic Book"/>
      <family val="2"/>
      <scheme val="minor"/>
    </font>
    <font>
      <sz val="11"/>
      <color rgb="FFFA7D00"/>
      <name val="Franklin Gothic Book"/>
      <family val="2"/>
      <scheme val="minor"/>
    </font>
    <font>
      <b/>
      <sz val="11"/>
      <color theme="0"/>
      <name val="Franklin Gothic Book"/>
      <family val="2"/>
      <scheme val="minor"/>
    </font>
    <font>
      <sz val="11"/>
      <color rgb="FFFF0000"/>
      <name val="Franklin Gothic Book"/>
      <family val="2"/>
      <scheme val="minor"/>
    </font>
    <font>
      <i/>
      <sz val="11"/>
      <color rgb="FF7F7F7F"/>
      <name val="Franklin Gothic Book"/>
      <family val="2"/>
      <scheme val="minor"/>
    </font>
    <font>
      <b/>
      <sz val="11"/>
      <color theme="1"/>
      <name val="Franklin Gothic Book"/>
      <family val="2"/>
      <scheme val="minor"/>
    </font>
  </fonts>
  <fills count="37">
    <fill>
      <patternFill patternType="none"/>
    </fill>
    <fill>
      <patternFill patternType="gray125"/>
    </fill>
    <fill>
      <patternFill patternType="solid">
        <fgColor theme="8" tint="0.79998168889431442"/>
        <bgColor indexed="64"/>
      </patternFill>
    </fill>
    <fill>
      <patternFill patternType="solid">
        <fgColor theme="8" tint="-0.24994659260841701"/>
        <bgColor indexed="64"/>
      </patternFill>
    </fill>
    <fill>
      <patternFill patternType="solid">
        <fgColor theme="0" tint="-0.14999847407452621"/>
        <bgColor indexed="64"/>
      </patternFill>
    </fill>
    <fill>
      <patternFill patternType="solid">
        <fgColor theme="8" tint="-0.249977111117893"/>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7">
    <border>
      <left/>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0" fontId="4" fillId="0" borderId="0" applyNumberFormat="0" applyFill="0" applyProtection="0">
      <alignment vertical="top"/>
    </xf>
    <xf numFmtId="0" fontId="5" fillId="0" borderId="0" applyNumberFormat="0" applyFill="0" applyAlignment="0" applyProtection="0"/>
    <xf numFmtId="3" fontId="1" fillId="0" borderId="0" applyFont="0" applyFill="0" applyBorder="0" applyProtection="0">
      <alignment horizontal="center" vertical="center"/>
    </xf>
    <xf numFmtId="0" fontId="3" fillId="3" borderId="0" applyNumberFormat="0" applyProtection="0">
      <alignment horizontal="right" vertical="top" indent="1"/>
    </xf>
    <xf numFmtId="164" fontId="1" fillId="0" borderId="0" applyFont="0" applyFill="0" applyBorder="0">
      <alignment horizontal="center" vertical="center" wrapText="1"/>
    </xf>
    <xf numFmtId="0" fontId="2" fillId="0" borderId="0"/>
    <xf numFmtId="0" fontId="6" fillId="2" borderId="0">
      <alignment wrapText="1"/>
    </xf>
    <xf numFmtId="41"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9" fontId="1"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9" fillId="6" borderId="0" applyNumberFormat="0" applyBorder="0" applyAlignment="0" applyProtection="0"/>
    <xf numFmtId="0" fontId="10" fillId="7" borderId="0" applyNumberFormat="0" applyBorder="0" applyAlignment="0" applyProtection="0"/>
    <xf numFmtId="0" fontId="11" fillId="8" borderId="0" applyNumberFormat="0" applyBorder="0" applyAlignment="0" applyProtection="0"/>
    <xf numFmtId="0" fontId="12" fillId="9" borderId="1" applyNumberFormat="0" applyAlignment="0" applyProtection="0"/>
    <xf numFmtId="0" fontId="13" fillId="10" borderId="2" applyNumberFormat="0" applyAlignment="0" applyProtection="0"/>
    <xf numFmtId="0" fontId="14" fillId="10" borderId="1" applyNumberFormat="0" applyAlignment="0" applyProtection="0"/>
    <xf numFmtId="0" fontId="15" fillId="0" borderId="3" applyNumberFormat="0" applyFill="0" applyAlignment="0" applyProtection="0"/>
    <xf numFmtId="0" fontId="16" fillId="11" borderId="4" applyNumberFormat="0" applyAlignment="0" applyProtection="0"/>
    <xf numFmtId="0" fontId="17" fillId="0" borderId="0" applyNumberFormat="0" applyFill="0" applyBorder="0" applyAlignment="0" applyProtection="0"/>
    <xf numFmtId="0" fontId="1" fillId="12" borderId="5" applyNumberFormat="0" applyFont="0" applyAlignment="0" applyProtection="0"/>
    <xf numFmtId="0" fontId="18" fillId="0" borderId="0" applyNumberFormat="0" applyFill="0" applyBorder="0" applyAlignment="0" applyProtection="0"/>
    <xf numFmtId="0" fontId="19" fillId="0" borderId="6" applyNumberFormat="0" applyFill="0" applyAlignment="0" applyProtection="0"/>
    <xf numFmtId="0" fontId="2"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2"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2"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2"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2"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cellStyleXfs>
  <cellXfs count="23">
    <xf numFmtId="0" fontId="0" fillId="0" borderId="0" xfId="0"/>
    <xf numFmtId="0" fontId="4" fillId="0" borderId="0" xfId="1" applyAlignment="1">
      <alignment vertical="center"/>
    </xf>
    <xf numFmtId="0" fontId="5" fillId="0" borderId="0" xfId="2" applyAlignment="1"/>
    <xf numFmtId="0" fontId="0" fillId="0" borderId="0" xfId="0" applyAlignment="1">
      <alignment wrapText="1"/>
    </xf>
    <xf numFmtId="0" fontId="5" fillId="0" borderId="0" xfId="2"/>
    <xf numFmtId="0" fontId="0" fillId="0" borderId="0" xfId="0" applyFont="1" applyFill="1" applyBorder="1" applyAlignment="1">
      <alignment wrapText="1"/>
    </xf>
    <xf numFmtId="0" fontId="0" fillId="0" borderId="0" xfId="0" applyNumberFormat="1"/>
    <xf numFmtId="0" fontId="5" fillId="0" borderId="0" xfId="2" applyNumberFormat="1"/>
    <xf numFmtId="0" fontId="0" fillId="0" borderId="0" xfId="0" applyAlignment="1">
      <alignment horizontal="center"/>
    </xf>
    <xf numFmtId="0" fontId="4" fillId="0" borderId="0" xfId="1">
      <alignment vertical="top"/>
    </xf>
    <xf numFmtId="0" fontId="3" fillId="3" borderId="0" xfId="4">
      <alignment horizontal="right" vertical="top" indent="1"/>
    </xf>
    <xf numFmtId="0" fontId="0" fillId="2" borderId="0" xfId="0" applyFill="1"/>
    <xf numFmtId="3" fontId="0" fillId="0" borderId="0" xfId="3" applyFont="1" applyFill="1" applyBorder="1">
      <alignment horizontal="center" vertical="center"/>
    </xf>
    <xf numFmtId="3" fontId="0" fillId="0" borderId="0" xfId="3" applyFont="1">
      <alignment horizontal="center" vertical="center"/>
    </xf>
    <xf numFmtId="164" fontId="0" fillId="0" borderId="0" xfId="5" applyFont="1" applyFill="1" applyBorder="1">
      <alignment horizontal="center" vertical="center" wrapText="1"/>
    </xf>
    <xf numFmtId="164" fontId="0" fillId="0" borderId="0" xfId="5" applyFont="1" applyFill="1">
      <alignment horizontal="center" vertical="center" wrapText="1"/>
    </xf>
    <xf numFmtId="0" fontId="2" fillId="0" borderId="0" xfId="6"/>
    <xf numFmtId="0" fontId="0" fillId="4" borderId="0" xfId="0" applyFill="1"/>
    <xf numFmtId="0" fontId="6" fillId="2" borderId="0" xfId="7">
      <alignment wrapText="1"/>
    </xf>
    <xf numFmtId="0" fontId="6" fillId="5" borderId="0" xfId="7" applyFill="1">
      <alignment wrapText="1"/>
    </xf>
    <xf numFmtId="164" fontId="0" fillId="0" borderId="0" xfId="0" applyNumberFormat="1" applyAlignment="1">
      <alignment horizontal="center"/>
    </xf>
    <xf numFmtId="164" fontId="0" fillId="0" borderId="0" xfId="0" applyNumberFormat="1" applyAlignment="1">
      <alignment wrapText="1"/>
    </xf>
    <xf numFmtId="165" fontId="0" fillId="0" borderId="0" xfId="0" applyNumberFormat="1"/>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Comma" xfId="3" builtinId="3" customBuiltin="1"/>
    <cellStyle name="Comma [0]" xfId="8" builtinId="6" customBuiltin="1"/>
    <cellStyle name="Currency" xfId="9" builtinId="4" customBuiltin="1"/>
    <cellStyle name="Currency [0]" xfId="10" builtinId="7" customBuiltin="1"/>
    <cellStyle name="Date" xfId="5"/>
    <cellStyle name="Explanatory Text" xfId="24" builtinId="53" customBuiltin="1"/>
    <cellStyle name="Good" xfId="14" builtinId="26" customBuiltin="1"/>
    <cellStyle name="Heading 1" xfId="1" builtinId="16" customBuiltin="1"/>
    <cellStyle name="Heading 2" xfId="2" builtinId="17" customBuiltin="1"/>
    <cellStyle name="Heading 3" xfId="4" builtinId="18" customBuiltin="1"/>
    <cellStyle name="Heading 4" xfId="13" builtinId="19" customBuiltin="1"/>
    <cellStyle name="Input" xfId="17" builtinId="20" customBuiltin="1"/>
    <cellStyle name="Linked Cell" xfId="20" builtinId="24" customBuiltin="1"/>
    <cellStyle name="Neutral" xfId="16" builtinId="28" customBuiltin="1"/>
    <cellStyle name="Normal" xfId="0" builtinId="0" customBuiltin="1"/>
    <cellStyle name="Note" xfId="23" builtinId="10" customBuiltin="1"/>
    <cellStyle name="Output" xfId="18" builtinId="21" customBuiltin="1"/>
    <cellStyle name="Percent" xfId="11" builtinId="5" customBuiltin="1"/>
    <cellStyle name="Title" xfId="12" builtinId="15" customBuiltin="1"/>
    <cellStyle name="Total" xfId="25" builtinId="25" customBuiltin="1"/>
    <cellStyle name="Warning Text" xfId="22" builtinId="11" customBuiltin="1"/>
    <cellStyle name="zHiddenCharttext" xfId="7"/>
    <cellStyle name="zHiddenText" xfId="6"/>
  </cellStyles>
  <dxfs count="10">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164" formatCode="dd/mm/yyyy;@"/>
      <alignment horizontal="general" vertical="bottom" textRotation="0" wrapText="1" indent="0" justifyLastLine="0" shrinkToFit="0" readingOrder="0"/>
    </dxf>
    <dxf>
      <numFmt numFmtId="164" formatCode="dd/mm/yyyy;@"/>
      <alignment horizontal="center" vertical="bottom" textRotation="0" wrapText="0" indent="0" justifyLastLine="0" shrinkToFit="0" readingOrder="0"/>
    </dxf>
    <dxf>
      <font>
        <b val="0"/>
        <i val="0"/>
        <strike val="0"/>
        <condense val="0"/>
        <extend val="0"/>
        <outline val="0"/>
        <shadow val="0"/>
        <u val="none"/>
        <vertAlign val="baseline"/>
        <sz val="11"/>
        <color theme="1"/>
        <name val="Franklin Gothic Book"/>
        <family val="2"/>
        <scheme val="minor"/>
      </font>
      <fill>
        <patternFill patternType="none">
          <fgColor indexed="64"/>
          <bgColor indexed="65"/>
        </patternFill>
      </fill>
    </dxf>
    <dxf>
      <font>
        <b val="0"/>
        <i val="0"/>
        <strike val="0"/>
        <condense val="0"/>
        <extend val="0"/>
        <outline val="0"/>
        <shadow val="0"/>
        <u val="none"/>
        <vertAlign val="baseline"/>
        <sz val="11"/>
        <color theme="1"/>
        <name val="Franklin Gothic Book"/>
        <family val="2"/>
        <scheme val="minor"/>
      </font>
      <fill>
        <patternFill patternType="none">
          <fgColor indexed="64"/>
          <bgColor indexed="65"/>
        </patternFill>
      </fill>
    </dxf>
    <dxf>
      <fill>
        <patternFill patternType="solid">
          <fgColor theme="5" tint="0.79992065187536243"/>
          <bgColor theme="8" tint="0.79998168889431442"/>
        </patternFill>
      </fill>
    </dxf>
    <dxf>
      <font>
        <color theme="8" tint="-0.499984740745262"/>
      </font>
      <border>
        <bottom style="thin">
          <color theme="8"/>
        </bottom>
      </border>
    </dxf>
    <dxf>
      <font>
        <b val="0"/>
        <i val="0"/>
        <color theme="8" tint="-0.499984740745262"/>
      </font>
      <border>
        <top style="thin">
          <color theme="8"/>
        </top>
        <bottom style="thin">
          <color theme="8"/>
        </bottom>
      </border>
    </dxf>
  </dxfs>
  <tableStyles count="1" defaultTableStyle="Product Roadmap table style" defaultPivotStyle="PivotStyleLight16">
    <tableStyle name="Product Roadmap table style" pivot="0" count="3">
      <tableStyleElement type="wholeTable" dxfId="9"/>
      <tableStyleElement type="headerRow" dxfId="8"/>
      <tableStyleElement type="firstRowStripe" dxfId="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
          <c:y val="0"/>
          <c:w val="1"/>
          <c:h val="0.95827541318139831"/>
        </c:manualLayout>
      </c:layout>
      <c:scatterChart>
        <c:scatterStyle val="lineMarker"/>
        <c:varyColors val="0"/>
        <c:ser>
          <c:idx val="0"/>
          <c:order val="0"/>
          <c:tx>
            <c:strRef>
              <c:f>'Chart data'!$D$3</c:f>
              <c:strCache>
                <c:ptCount val="1"/>
                <c:pt idx="0">
                  <c:v>Position</c:v>
                </c:pt>
              </c:strCache>
            </c:strRef>
          </c:tx>
          <c:spPr>
            <a:ln w="19050" cap="rnd">
              <a:noFill/>
              <a:round/>
            </a:ln>
            <a:effectLst/>
          </c:spPr>
          <c:marker>
            <c:symbol val="circle"/>
            <c:size val="5"/>
            <c:spPr>
              <a:solidFill>
                <a:schemeClr val="accent5">
                  <a:lumMod val="50000"/>
                </a:schemeClr>
              </a:solidFill>
              <a:ln w="9525">
                <a:solidFill>
                  <a:schemeClr val="accent5"/>
                </a:solidFill>
              </a:ln>
              <a:effectLst/>
            </c:spPr>
          </c:marker>
          <c:dLbls>
            <c:dLbl>
              <c:idx val="0"/>
              <c:tx>
                <c:rich>
                  <a:bodyPr/>
                  <a:lstStyle/>
                  <a:p>
                    <a:fld id="{46261309-29CA-4394-8AF4-2C24961AC30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0-738F-4955-B7A2-9C15639C0302}"/>
                </c:ext>
              </c:extLst>
            </c:dLbl>
            <c:dLbl>
              <c:idx val="1"/>
              <c:tx>
                <c:rich>
                  <a:bodyPr/>
                  <a:lstStyle/>
                  <a:p>
                    <a:fld id="{BF77F0D0-3348-46FF-8DB4-527B0561797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738F-4955-B7A2-9C15639C0302}"/>
                </c:ext>
              </c:extLst>
            </c:dLbl>
            <c:dLbl>
              <c:idx val="2"/>
              <c:tx>
                <c:rich>
                  <a:bodyPr/>
                  <a:lstStyle/>
                  <a:p>
                    <a:fld id="{78116EB4-065C-44CD-919C-9AFB49E583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738F-4955-B7A2-9C15639C0302}"/>
                </c:ext>
              </c:extLst>
            </c:dLbl>
            <c:dLbl>
              <c:idx val="3"/>
              <c:tx>
                <c:rich>
                  <a:bodyPr/>
                  <a:lstStyle/>
                  <a:p>
                    <a:fld id="{A2B36DB9-C3DE-4BE2-85D8-6391A616FD9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738F-4955-B7A2-9C15639C0302}"/>
                </c:ext>
              </c:extLst>
            </c:dLbl>
            <c:dLbl>
              <c:idx val="4"/>
              <c:tx>
                <c:rich>
                  <a:bodyPr/>
                  <a:lstStyle/>
                  <a:p>
                    <a:fld id="{62EDA2F3-621E-4C8F-ACE2-FB89377A03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738F-4955-B7A2-9C15639C0302}"/>
                </c:ext>
              </c:extLst>
            </c:dLbl>
            <c:dLbl>
              <c:idx val="5"/>
              <c:tx>
                <c:rich>
                  <a:bodyPr/>
                  <a:lstStyle/>
                  <a:p>
                    <a:fld id="{B09437A6-AA0E-4CDE-B49C-A869129C71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738F-4955-B7A2-9C15639C0302}"/>
                </c:ext>
              </c:extLst>
            </c:dLbl>
            <c:dLbl>
              <c:idx val="6"/>
              <c:tx>
                <c:rich>
                  <a:bodyPr/>
                  <a:lstStyle/>
                  <a:p>
                    <a:fld id="{2A6966B3-AFB6-4AC1-8322-F6068528ACE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738F-4955-B7A2-9C15639C0302}"/>
                </c:ext>
              </c:extLst>
            </c:dLbl>
            <c:dLbl>
              <c:idx val="7"/>
              <c:tx>
                <c:rich>
                  <a:bodyPr/>
                  <a:lstStyle/>
                  <a:p>
                    <a:fld id="{25494416-D906-4C7D-AD64-65DDD2A518E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738F-4955-B7A2-9C15639C0302}"/>
                </c:ext>
              </c:extLst>
            </c:dLbl>
            <c:dLbl>
              <c:idx val="8"/>
              <c:tx>
                <c:rich>
                  <a:bodyPr/>
                  <a:lstStyle/>
                  <a:p>
                    <a:fld id="{7606C387-E0E8-4683-934F-3C96F9D22EF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738F-4955-B7A2-9C15639C0302}"/>
                </c:ext>
              </c:extLst>
            </c:dLbl>
            <c:dLbl>
              <c:idx val="9"/>
              <c:tx>
                <c:rich>
                  <a:bodyPr/>
                  <a:lstStyle/>
                  <a:p>
                    <a:fld id="{D07331B8-6C38-4343-8F8E-AA6BAE51073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738F-4955-B7A2-9C15639C0302}"/>
                </c:ext>
              </c:extLst>
            </c:dLbl>
            <c:spPr>
              <a:noFill/>
              <a:ln>
                <a:noFill/>
              </a:ln>
              <a:effectLst/>
            </c:spPr>
            <c:txPr>
              <a:bodyPr rot="0" spcFirstLastPara="1" vertOverflow="ellipsis" horzOverflow="clip" vert="horz" wrap="none" lIns="38100" tIns="19050" rIns="38100" bIns="19050" anchor="ctr" anchorCtr="1">
                <a:spAutoFit/>
              </a:bodyPr>
              <a:lstStyle/>
              <a:p>
                <a:pPr>
                  <a:defRPr sz="1100" b="0" i="0" u="none" strike="noStrike" kern="1200" baseline="0">
                    <a:solidFill>
                      <a:schemeClr val="accent5">
                        <a:lumMod val="50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a:noFill/>
                  <a:ln>
                    <a:noFill/>
                  </a:ln>
                </c15:spPr>
                <c15:showDataLabelsRange val="1"/>
                <c15:showLeaderLines val="0"/>
              </c:ext>
            </c:extLst>
          </c:dLbls>
          <c:errBars>
            <c:errDir val="y"/>
            <c:errBarType val="minus"/>
            <c:errValType val="percentage"/>
            <c:noEndCap val="1"/>
            <c:val val="100"/>
            <c:spPr>
              <a:noFill/>
              <a:ln w="9525" cap="rnd" cmpd="sng" algn="ctr">
                <a:solidFill>
                  <a:schemeClr val="accent5">
                    <a:lumMod val="75000"/>
                  </a:schemeClr>
                </a:solidFill>
                <a:round/>
              </a:ln>
              <a:effectLst/>
            </c:spPr>
          </c:errBars>
          <c:xVal>
            <c:multiLvlStrRef>
              <c:f>'Chart data'!$B$4:$C$13</c:f>
              <c:multiLvlStrCache>
                <c:ptCount val="10"/>
                <c:lvl>
                  <c:pt idx="0">
                    <c:v>Start</c:v>
                  </c:pt>
                  <c:pt idx="1">
                    <c:v>Problem analysis
activity 1</c:v>
                  </c:pt>
                  <c:pt idx="2">
                    <c:v>Develop business case
activity 1
activity 2</c:v>
                  </c:pt>
                  <c:pt idx="3">
                    <c:v>Review presentation</c:v>
                  </c:pt>
                  <c:pt idx="4">
                    <c:v>Exec kick-off
activity 1
activity 2</c:v>
                  </c:pt>
                  <c:pt idx="5">
                    <c:v>Exec alignment
activity 1
activity 2
activity 3</c:v>
                  </c:pt>
                  <c:pt idx="6">
                    <c:v>Stakeholder buy-in</c:v>
                  </c:pt>
                  <c:pt idx="7">
                    <c:v>Resource selection</c:v>
                  </c:pt>
                  <c:pt idx="8">
                    <c:v>Team creation
activity 1 </c:v>
                  </c:pt>
                  <c:pt idx="9">
                    <c:v>Team kick-off
activity 1 
activity 2
activity 3
activity 4</c:v>
                  </c:pt>
                </c:lvl>
                <c:lvl>
                  <c:pt idx="0">
                    <c:v>27/06/2018</c:v>
                  </c:pt>
                  <c:pt idx="1">
                    <c:v>07/07/2018</c:v>
                  </c:pt>
                  <c:pt idx="2">
                    <c:v>27/07/2018</c:v>
                  </c:pt>
                  <c:pt idx="3">
                    <c:v>26/08/2018</c:v>
                  </c:pt>
                  <c:pt idx="4">
                    <c:v>05/10/2018</c:v>
                  </c:pt>
                  <c:pt idx="5">
                    <c:v>24/11/2018</c:v>
                  </c:pt>
                  <c:pt idx="6">
                    <c:v>23/01/2019</c:v>
                  </c:pt>
                  <c:pt idx="7">
                    <c:v>03/04/2019</c:v>
                  </c:pt>
                  <c:pt idx="8">
                    <c:v>22/06/2019</c:v>
                  </c:pt>
                  <c:pt idx="9">
                    <c:v>20/09/2019</c:v>
                  </c:pt>
                </c:lvl>
              </c:multiLvlStrCache>
            </c:multiLvlStrRef>
          </c:xVal>
          <c:yVal>
            <c:numRef>
              <c:f>'Chart data'!$D$4:$D$13</c:f>
              <c:numCache>
                <c:formatCode>General</c:formatCode>
                <c:ptCount val="10"/>
                <c:pt idx="0">
                  <c:v>1</c:v>
                </c:pt>
                <c:pt idx="1">
                  <c:v>-2</c:v>
                </c:pt>
                <c:pt idx="2">
                  <c:v>1</c:v>
                </c:pt>
                <c:pt idx="3">
                  <c:v>-1</c:v>
                </c:pt>
                <c:pt idx="4">
                  <c:v>-0.5</c:v>
                </c:pt>
                <c:pt idx="5">
                  <c:v>2</c:v>
                </c:pt>
                <c:pt idx="6">
                  <c:v>0.5</c:v>
                </c:pt>
                <c:pt idx="7">
                  <c:v>-1</c:v>
                </c:pt>
                <c:pt idx="8">
                  <c:v>0.5</c:v>
                </c:pt>
                <c:pt idx="9">
                  <c:v>-2</c:v>
                </c:pt>
              </c:numCache>
            </c:numRef>
          </c:yVal>
          <c:smooth val="0"/>
          <c:extLst>
            <c:ext xmlns:c15="http://schemas.microsoft.com/office/drawing/2012/chart" uri="{02D57815-91ED-43cb-92C2-25804820EDAC}">
              <c15:datalabelsRange>
                <c15:f>'Chart data'!$C$4:$C$13</c15:f>
                <c15:dlblRangeCache>
                  <c:ptCount val="10"/>
                  <c:pt idx="0">
                    <c:v>Start</c:v>
                  </c:pt>
                  <c:pt idx="1">
                    <c:v>Problem analysis
activity 1</c:v>
                  </c:pt>
                  <c:pt idx="2">
                    <c:v>Develop business case
activity 1
activity 2</c:v>
                  </c:pt>
                  <c:pt idx="3">
                    <c:v>Review presentation</c:v>
                  </c:pt>
                  <c:pt idx="4">
                    <c:v>Exec kick-off
activity 1
activity 2</c:v>
                  </c:pt>
                  <c:pt idx="5">
                    <c:v>Exec alignment
activity 1
activity 2
activity 3</c:v>
                  </c:pt>
                  <c:pt idx="6">
                    <c:v>Stakeholder buy-in</c:v>
                  </c:pt>
                  <c:pt idx="7">
                    <c:v>Resource selection</c:v>
                  </c:pt>
                  <c:pt idx="8">
                    <c:v>Team creation
activity 1 </c:v>
                  </c:pt>
                  <c:pt idx="9">
                    <c:v>Team kick-off
activity 1 
activity 2
activity 3
activity 4</c:v>
                  </c:pt>
                </c15:dlblRangeCache>
              </c15:datalabelsRange>
            </c:ext>
            <c:ext xmlns:c16="http://schemas.microsoft.com/office/drawing/2014/chart" uri="{C3380CC4-5D6E-409C-BE32-E72D297353CC}">
              <c16:uniqueId val="{0000000A-738F-4955-B7A2-9C15639C0302}"/>
            </c:ext>
          </c:extLst>
        </c:ser>
        <c:dLbls>
          <c:showLegendKey val="0"/>
          <c:showVal val="0"/>
          <c:showCatName val="0"/>
          <c:showSerName val="0"/>
          <c:showPercent val="0"/>
          <c:showBubbleSize val="0"/>
        </c:dLbls>
        <c:axId val="966684360"/>
        <c:axId val="966683048"/>
      </c:scatterChart>
      <c:valAx>
        <c:axId val="966684360"/>
        <c:scaling>
          <c:orientation val="minMax"/>
          <c:max val="12"/>
        </c:scaling>
        <c:delete val="0"/>
        <c:axPos val="b"/>
        <c:majorTickMark val="none"/>
        <c:minorTickMark val="none"/>
        <c:tickLblPos val="none"/>
        <c:spPr>
          <a:solidFill>
            <a:schemeClr val="accent5">
              <a:lumMod val="75000"/>
            </a:schemeClr>
          </a:solidFill>
          <a:ln w="63500" cap="flat" cmpd="sng" algn="ctr">
            <a:solidFill>
              <a:schemeClr val="accent5">
                <a:lumMod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683048"/>
        <c:crosses val="autoZero"/>
        <c:crossBetween val="midCat"/>
        <c:majorUnit val="2"/>
        <c:minorUnit val="0.2"/>
      </c:valAx>
      <c:valAx>
        <c:axId val="966683048"/>
        <c:scaling>
          <c:orientation val="minMax"/>
        </c:scaling>
        <c:delete val="0"/>
        <c:axPos val="l"/>
        <c:numFmt formatCode="General" sourceLinked="1"/>
        <c:majorTickMark val="none"/>
        <c:minorTickMark val="none"/>
        <c:tickLblPos val="none"/>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66684360"/>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noFill/>
      <a:round/>
    </a:ln>
    <a:effectLst/>
  </c:spPr>
  <c:txPr>
    <a:bodyPr/>
    <a:lstStyle/>
    <a:p>
      <a:pPr>
        <a:defRPr/>
      </a:pPr>
      <a:endParaRPr lang="en-US"/>
    </a:p>
  </c:txPr>
  <c:printSettings>
    <c:headerFooter/>
    <c:pageMargins b="0.75" l="0.7" r="0.7" t="0.75" header="0.3" footer="0.3"/>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Scroll" dx="22" fmlaLink="'Chart data'!$B$17" horiz="1" max="10" page="4" val="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0</xdr:row>
      <xdr:rowOff>9526</xdr:rowOff>
    </xdr:from>
    <xdr:to>
      <xdr:col>3</xdr:col>
      <xdr:colOff>3505199</xdr:colOff>
      <xdr:row>4</xdr:row>
      <xdr:rowOff>28576</xdr:rowOff>
    </xdr:to>
    <xdr:graphicFrame macro="">
      <xdr:nvGraphicFramePr>
        <xdr:cNvPr id="2" name="Chart 1" descr="Scatter chart for plotting milestones above or below and along a timeline.">
          <a:extLst>
            <a:ext uri="{FF2B5EF4-FFF2-40B4-BE49-F238E27FC236}">
              <a16:creationId xmlns:a16="http://schemas.microsoft.com/office/drawing/2014/main" id="{00000000-0008-0000-0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9525</xdr:colOff>
          <xdr:row>2</xdr:row>
          <xdr:rowOff>209550</xdr:rowOff>
        </xdr:from>
        <xdr:to>
          <xdr:col>3</xdr:col>
          <xdr:colOff>4705350</xdr:colOff>
          <xdr:row>4</xdr:row>
          <xdr:rowOff>28575</xdr:rowOff>
        </xdr:to>
        <xdr:sp macro="" textlink="">
          <xdr:nvSpPr>
            <xdr:cNvPr id="4098" name="Scroll Bar 2" descr="Scrollbar to navigate the roadmap" hidden="1">
              <a:extLst>
                <a:ext uri="{63B3BB69-23CF-44E3-9099-C40C66FF867C}">
                  <a14:compatExt spid="_x0000_s4098"/>
                </a:ext>
                <a:ext uri="{FF2B5EF4-FFF2-40B4-BE49-F238E27FC236}">
                  <a16:creationId xmlns:a16="http://schemas.microsoft.com/office/drawing/2014/main" id="{00000000-0008-0000-0100-00000210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editAs="absolute">
    <xdr:from>
      <xdr:col>0</xdr:col>
      <xdr:colOff>19049</xdr:colOff>
      <xdr:row>0</xdr:row>
      <xdr:rowOff>1038225</xdr:rowOff>
    </xdr:from>
    <xdr:to>
      <xdr:col>3</xdr:col>
      <xdr:colOff>4605526</xdr:colOff>
      <xdr:row>1</xdr:row>
      <xdr:rowOff>1880920</xdr:rowOff>
    </xdr:to>
    <xdr:grpSp>
      <xdr:nvGrpSpPr>
        <xdr:cNvPr id="44" name="Group 43" descr="Milestone date marker along the roadmap timeline">
          <a:extLst>
            <a:ext uri="{FF2B5EF4-FFF2-40B4-BE49-F238E27FC236}">
              <a16:creationId xmlns:a16="http://schemas.microsoft.com/office/drawing/2014/main" id="{00000000-0008-0000-0100-00002C000000}"/>
            </a:ext>
          </a:extLst>
        </xdr:cNvPr>
        <xdr:cNvGrpSpPr/>
      </xdr:nvGrpSpPr>
      <xdr:grpSpPr>
        <a:xfrm>
          <a:off x="19049" y="1038225"/>
          <a:ext cx="11815952" cy="4081195"/>
          <a:chOff x="19049" y="1247137"/>
          <a:chExt cx="11815952" cy="3902696"/>
        </a:xfrm>
      </xdr:grpSpPr>
      <xdr:grpSp>
        <xdr:nvGrpSpPr>
          <xdr:cNvPr id="35" name="Group 34" descr="Milestone date marker along the roadmap timeline">
            <a:extLst>
              <a:ext uri="{FF2B5EF4-FFF2-40B4-BE49-F238E27FC236}">
                <a16:creationId xmlns:a16="http://schemas.microsoft.com/office/drawing/2014/main" id="{00000000-0008-0000-0100-000023000000}"/>
              </a:ext>
            </a:extLst>
          </xdr:cNvPr>
          <xdr:cNvGrpSpPr/>
        </xdr:nvGrpSpPr>
        <xdr:grpSpPr>
          <a:xfrm>
            <a:off x="11039473" y="2302210"/>
            <a:ext cx="795528" cy="994205"/>
            <a:chOff x="11039473" y="2302210"/>
            <a:chExt cx="795528" cy="994205"/>
          </a:xfrm>
        </xdr:grpSpPr>
        <xdr:sp macro="" textlink="'Chart data'!C26">
          <xdr:nvSpPr>
            <xdr:cNvPr id="12" name="Circle: Hollow 11" descr="Milestone date within a doughnut.">
              <a:extLst>
                <a:ext uri="{FF2B5EF4-FFF2-40B4-BE49-F238E27FC236}">
                  <a16:creationId xmlns:a16="http://schemas.microsoft.com/office/drawing/2014/main" id="{00000000-0008-0000-0100-00000C000000}"/>
                </a:ext>
              </a:extLst>
            </xdr:cNvPr>
            <xdr:cNvSpPr/>
          </xdr:nvSpPr>
          <xdr:spPr>
            <a:xfrm>
              <a:off x="11039473" y="2302210"/>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0" rIns="0" rtlCol="0" anchor="ctr"/>
            <a:lstStyle/>
            <a:p>
              <a:pPr algn="ctr" rtl="0"/>
              <a:fld id="{EDA3A338-67AB-4920-99D9-B3A1BE175CDC}" type="TxLink">
                <a:rPr lang="en-US" sz="1200" b="0" i="0" u="none" strike="noStrike">
                  <a:solidFill>
                    <a:srgbClr val="000000"/>
                  </a:solidFill>
                  <a:latin typeface="Corbel" panose="020B0503020204020204" pitchFamily="34" charset="0"/>
                </a:rPr>
                <a:pPr algn="ctr" rtl="0"/>
                <a:t>20 Sep</a:t>
              </a:fld>
              <a:endParaRPr lang="en-US" sz="1200">
                <a:solidFill>
                  <a:schemeClr val="tx1"/>
                </a:solidFill>
                <a:latin typeface="Corbel" panose="020B0503020204020204" pitchFamily="34" charset="0"/>
              </a:endParaRPr>
            </a:p>
          </xdr:txBody>
        </xdr:sp>
        <xdr:grpSp>
          <xdr:nvGrpSpPr>
            <xdr:cNvPr id="20" name="Group 19" descr="Milestone date marker along the roadmap timeline">
              <a:extLst>
                <a:ext uri="{FF2B5EF4-FFF2-40B4-BE49-F238E27FC236}">
                  <a16:creationId xmlns:a16="http://schemas.microsoft.com/office/drawing/2014/main" id="{00000000-0008-0000-0100-000014000000}"/>
                </a:ext>
              </a:extLst>
            </xdr:cNvPr>
            <xdr:cNvGrpSpPr/>
          </xdr:nvGrpSpPr>
          <xdr:grpSpPr>
            <a:xfrm>
              <a:off x="11106150" y="3131823"/>
              <a:ext cx="683133" cy="164592"/>
              <a:chOff x="14306550" y="2374586"/>
              <a:chExt cx="683133" cy="164592"/>
            </a:xfrm>
          </xdr:grpSpPr>
          <xdr:sp macro="" textlink="">
            <xdr:nvSpPr>
              <xdr:cNvPr id="19" name="Flowchart: Connector 18" descr="Decorative circle">
                <a:extLst>
                  <a:ext uri="{FF2B5EF4-FFF2-40B4-BE49-F238E27FC236}">
                    <a16:creationId xmlns:a16="http://schemas.microsoft.com/office/drawing/2014/main" id="{00000000-0008-0000-0100-000013000000}"/>
                  </a:ext>
                </a:extLst>
              </xdr:cNvPr>
              <xdr:cNvSpPr/>
            </xdr:nvSpPr>
            <xdr:spPr>
              <a:xfrm>
                <a:off x="14306550"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3" name="Flowchart: Connector 22" descr="Decorative circle">
                <a:extLst>
                  <a:ext uri="{FF2B5EF4-FFF2-40B4-BE49-F238E27FC236}">
                    <a16:creationId xmlns:a16="http://schemas.microsoft.com/office/drawing/2014/main" id="{00000000-0008-0000-0100-000017000000}"/>
                  </a:ext>
                </a:extLst>
              </xdr:cNvPr>
              <xdr:cNvSpPr/>
            </xdr:nvSpPr>
            <xdr:spPr>
              <a:xfrm>
                <a:off x="14418564" y="240658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4" name="Flowchart: Connector 23" descr="Decorative circle">
                <a:extLst>
                  <a:ext uri="{FF2B5EF4-FFF2-40B4-BE49-F238E27FC236}">
                    <a16:creationId xmlns:a16="http://schemas.microsoft.com/office/drawing/2014/main" id="{00000000-0008-0000-0100-000018000000}"/>
                  </a:ext>
                </a:extLst>
              </xdr:cNvPr>
              <xdr:cNvSpPr/>
            </xdr:nvSpPr>
            <xdr:spPr>
              <a:xfrm>
                <a:off x="14567154" y="2374586"/>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6" name="Flowchart: Connector 25" descr="Decorative circle">
                <a:extLst>
                  <a:ext uri="{FF2B5EF4-FFF2-40B4-BE49-F238E27FC236}">
                    <a16:creationId xmlns:a16="http://schemas.microsoft.com/office/drawing/2014/main" id="{00000000-0008-0000-0100-00001A000000}"/>
                  </a:ext>
                </a:extLst>
              </xdr:cNvPr>
              <xdr:cNvSpPr/>
            </xdr:nvSpPr>
            <xdr:spPr>
              <a:xfrm rot="10800000">
                <a:off x="14925675" y="2423543"/>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27" name="Flowchart: Connector 26" descr="Decorative circle">
                <a:extLst>
                  <a:ext uri="{FF2B5EF4-FFF2-40B4-BE49-F238E27FC236}">
                    <a16:creationId xmlns:a16="http://schemas.microsoft.com/office/drawing/2014/main" id="{00000000-0008-0000-0100-00001B000000}"/>
                  </a:ext>
                </a:extLst>
              </xdr:cNvPr>
              <xdr:cNvSpPr/>
            </xdr:nvSpPr>
            <xdr:spPr>
              <a:xfrm rot="10800000">
                <a:off x="14777085" y="2406589"/>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43" name="Group 42" descr="Milestone date marker along the roadmap timeline">
            <a:extLst>
              <a:ext uri="{FF2B5EF4-FFF2-40B4-BE49-F238E27FC236}">
                <a16:creationId xmlns:a16="http://schemas.microsoft.com/office/drawing/2014/main" id="{00000000-0008-0000-0100-00002B000000}"/>
              </a:ext>
            </a:extLst>
          </xdr:cNvPr>
          <xdr:cNvGrpSpPr/>
        </xdr:nvGrpSpPr>
        <xdr:grpSpPr>
          <a:xfrm>
            <a:off x="19049" y="4144038"/>
            <a:ext cx="795528" cy="1005795"/>
            <a:chOff x="19049" y="4144038"/>
            <a:chExt cx="795528" cy="1005795"/>
          </a:xfrm>
        </xdr:grpSpPr>
        <xdr:sp macro="" textlink="'Chart data'!C24">
          <xdr:nvSpPr>
            <xdr:cNvPr id="17" name="Circle: Hollow 16" descr="Milestone date within a doughnut.">
              <a:extLst>
                <a:ext uri="{FF2B5EF4-FFF2-40B4-BE49-F238E27FC236}">
                  <a16:creationId xmlns:a16="http://schemas.microsoft.com/office/drawing/2014/main" id="{00000000-0008-0000-0100-000011000000}"/>
                </a:ext>
              </a:extLst>
            </xdr:cNvPr>
            <xdr:cNvSpPr/>
          </xdr:nvSpPr>
          <xdr:spPr>
            <a:xfrm>
              <a:off x="19049" y="4354305"/>
              <a:ext cx="795528" cy="795528"/>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0" rIns="0" rtlCol="0" anchor="ctr"/>
            <a:lstStyle/>
            <a:p>
              <a:pPr algn="ctr" rtl="0"/>
              <a:fld id="{60C87DDA-A70A-4557-99D2-718C0DB02B25}" type="TxLink">
                <a:rPr lang="en-US" sz="1200" b="0" i="0" u="none" strike="noStrike">
                  <a:solidFill>
                    <a:srgbClr val="000000"/>
                  </a:solidFill>
                  <a:latin typeface="Corbel" panose="020B0503020204020204" pitchFamily="34" charset="0"/>
                </a:rPr>
                <a:pPr algn="ctr" rtl="0"/>
                <a:t>27 Jun</a:t>
              </a:fld>
              <a:endParaRPr lang="en-US" sz="1200">
                <a:solidFill>
                  <a:schemeClr val="tx1"/>
                </a:solidFill>
                <a:latin typeface="Corbel" panose="020B0503020204020204" pitchFamily="34" charset="0"/>
              </a:endParaRPr>
            </a:p>
          </xdr:txBody>
        </xdr:sp>
        <xdr:grpSp>
          <xdr:nvGrpSpPr>
            <xdr:cNvPr id="29" name="Group 28" descr="Milestone date marker along the roadmap timeline">
              <a:extLst>
                <a:ext uri="{FF2B5EF4-FFF2-40B4-BE49-F238E27FC236}">
                  <a16:creationId xmlns:a16="http://schemas.microsoft.com/office/drawing/2014/main" id="{00000000-0008-0000-0100-00001D000000}"/>
                </a:ext>
              </a:extLst>
            </xdr:cNvPr>
            <xdr:cNvGrpSpPr/>
          </xdr:nvGrpSpPr>
          <xdr:grpSpPr>
            <a:xfrm>
              <a:off x="95250" y="4144038"/>
              <a:ext cx="683133" cy="164592"/>
              <a:chOff x="11610975" y="2839113"/>
              <a:chExt cx="683133" cy="164592"/>
            </a:xfrm>
          </xdr:grpSpPr>
          <xdr:sp macro="" textlink="">
            <xdr:nvSpPr>
              <xdr:cNvPr id="30" name="Flowchart: Connector 29" descr="Decorative circle">
                <a:extLst>
                  <a:ext uri="{FF2B5EF4-FFF2-40B4-BE49-F238E27FC236}">
                    <a16:creationId xmlns:a16="http://schemas.microsoft.com/office/drawing/2014/main" id="{00000000-0008-0000-0100-00001E000000}"/>
                  </a:ext>
                </a:extLst>
              </xdr:cNvPr>
              <xdr:cNvSpPr/>
            </xdr:nvSpPr>
            <xdr:spPr>
              <a:xfrm>
                <a:off x="11610975"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1" name="Flowchart: Connector 30" descr="Decorative circle">
                <a:extLst>
                  <a:ext uri="{FF2B5EF4-FFF2-40B4-BE49-F238E27FC236}">
                    <a16:creationId xmlns:a16="http://schemas.microsoft.com/office/drawing/2014/main" id="{00000000-0008-0000-0100-00001F000000}"/>
                  </a:ext>
                </a:extLst>
              </xdr:cNvPr>
              <xdr:cNvSpPr/>
            </xdr:nvSpPr>
            <xdr:spPr>
              <a:xfrm>
                <a:off x="11722989" y="287111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2" name="Flowchart: Connector 31" descr="Decorative circle">
                <a:extLst>
                  <a:ext uri="{FF2B5EF4-FFF2-40B4-BE49-F238E27FC236}">
                    <a16:creationId xmlns:a16="http://schemas.microsoft.com/office/drawing/2014/main" id="{00000000-0008-0000-0100-000020000000}"/>
                  </a:ext>
                </a:extLst>
              </xdr:cNvPr>
              <xdr:cNvSpPr/>
            </xdr:nvSpPr>
            <xdr:spPr>
              <a:xfrm>
                <a:off x="11871579" y="2839113"/>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3" name="Flowchart: Connector 32" descr="Decorative circle">
                <a:extLst>
                  <a:ext uri="{FF2B5EF4-FFF2-40B4-BE49-F238E27FC236}">
                    <a16:creationId xmlns:a16="http://schemas.microsoft.com/office/drawing/2014/main" id="{00000000-0008-0000-0100-000021000000}"/>
                  </a:ext>
                </a:extLst>
              </xdr:cNvPr>
              <xdr:cNvSpPr/>
            </xdr:nvSpPr>
            <xdr:spPr>
              <a:xfrm rot="10800000">
                <a:off x="12230100" y="2888072"/>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4" name="Flowchart: Connector 33" descr="Decorative circle">
                <a:extLst>
                  <a:ext uri="{FF2B5EF4-FFF2-40B4-BE49-F238E27FC236}">
                    <a16:creationId xmlns:a16="http://schemas.microsoft.com/office/drawing/2014/main" id="{00000000-0008-0000-0100-000022000000}"/>
                  </a:ext>
                </a:extLst>
              </xdr:cNvPr>
              <xdr:cNvSpPr/>
            </xdr:nvSpPr>
            <xdr:spPr>
              <a:xfrm rot="10800000">
                <a:off x="12081510" y="2871118"/>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nvGrpSpPr>
          <xdr:cNvPr id="42" name="Group 41" descr="Milestone date marker along the roadmap timeline">
            <a:extLst>
              <a:ext uri="{FF2B5EF4-FFF2-40B4-BE49-F238E27FC236}">
                <a16:creationId xmlns:a16="http://schemas.microsoft.com/office/drawing/2014/main" id="{00000000-0008-0000-0100-00002A000000}"/>
              </a:ext>
            </a:extLst>
          </xdr:cNvPr>
          <xdr:cNvGrpSpPr/>
        </xdr:nvGrpSpPr>
        <xdr:grpSpPr>
          <a:xfrm>
            <a:off x="4648200" y="1247137"/>
            <a:ext cx="795528" cy="1020031"/>
            <a:chOff x="4648200" y="1247137"/>
            <a:chExt cx="795528" cy="1020031"/>
          </a:xfrm>
        </xdr:grpSpPr>
        <xdr:sp macro="" textlink="'Chart data'!C25">
          <xdr:nvSpPr>
            <xdr:cNvPr id="7" name="Circle: Hollow 6" descr="Milestone date marker along the roadmap timeline">
              <a:extLst>
                <a:ext uri="{FF2B5EF4-FFF2-40B4-BE49-F238E27FC236}">
                  <a16:creationId xmlns:a16="http://schemas.microsoft.com/office/drawing/2014/main" id="{00000000-0008-0000-0100-000007000000}"/>
                </a:ext>
              </a:extLst>
            </xdr:cNvPr>
            <xdr:cNvSpPr/>
          </xdr:nvSpPr>
          <xdr:spPr>
            <a:xfrm>
              <a:off x="4648200" y="1247137"/>
              <a:ext cx="795528" cy="790576"/>
            </a:xfrm>
            <a:prstGeom prst="donut">
              <a:avLst>
                <a:gd name="adj" fmla="val 7296"/>
              </a:avLst>
            </a:prstGeom>
            <a:solidFill>
              <a:schemeClr val="accent5"/>
            </a:solidFill>
            <a:ln>
              <a:noFill/>
            </a:ln>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lIns="0" rIns="0" rtlCol="0" anchor="ctr"/>
            <a:lstStyle/>
            <a:p>
              <a:pPr algn="ctr" rtl="0"/>
              <a:fld id="{199D44F3-1370-48B7-9068-2DB846DC066A}" type="TxLink">
                <a:rPr lang="en-US" sz="1200" b="0" i="0" u="none" strike="noStrike">
                  <a:solidFill>
                    <a:srgbClr val="000000"/>
                  </a:solidFill>
                  <a:latin typeface="Corbel" panose="020B0503020204020204" pitchFamily="34" charset="0"/>
                </a:rPr>
                <a:pPr algn="ctr" rtl="0"/>
                <a:t>24 Nov</a:t>
              </a:fld>
              <a:endParaRPr lang="en-US" sz="1200">
                <a:solidFill>
                  <a:schemeClr val="tx1"/>
                </a:solidFill>
                <a:latin typeface="Corbel" panose="020B0503020204020204" pitchFamily="34" charset="0"/>
              </a:endParaRPr>
            </a:p>
          </xdr:txBody>
        </xdr:sp>
        <xdr:grpSp>
          <xdr:nvGrpSpPr>
            <xdr:cNvPr id="36" name="Group 35" descr="Milestone date marker along the roadmap timeline">
              <a:extLst>
                <a:ext uri="{FF2B5EF4-FFF2-40B4-BE49-F238E27FC236}">
                  <a16:creationId xmlns:a16="http://schemas.microsoft.com/office/drawing/2014/main" id="{00000000-0008-0000-0100-000024000000}"/>
                </a:ext>
              </a:extLst>
            </xdr:cNvPr>
            <xdr:cNvGrpSpPr/>
          </xdr:nvGrpSpPr>
          <xdr:grpSpPr>
            <a:xfrm>
              <a:off x="4705350" y="2102576"/>
              <a:ext cx="683133" cy="164592"/>
              <a:chOff x="12068175" y="1345339"/>
              <a:chExt cx="683133" cy="164592"/>
            </a:xfrm>
          </xdr:grpSpPr>
          <xdr:sp macro="" textlink="">
            <xdr:nvSpPr>
              <xdr:cNvPr id="37" name="Flowchart: Connector 36" descr="Decorative circle">
                <a:extLst>
                  <a:ext uri="{FF2B5EF4-FFF2-40B4-BE49-F238E27FC236}">
                    <a16:creationId xmlns:a16="http://schemas.microsoft.com/office/drawing/2014/main" id="{00000000-0008-0000-0100-000025000000}"/>
                  </a:ext>
                </a:extLst>
              </xdr:cNvPr>
              <xdr:cNvSpPr/>
            </xdr:nvSpPr>
            <xdr:spPr>
              <a:xfrm>
                <a:off x="12068175" y="1394294"/>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8" name="Flowchart: Connector 37" descr="Decorative circle">
                <a:extLst>
                  <a:ext uri="{FF2B5EF4-FFF2-40B4-BE49-F238E27FC236}">
                    <a16:creationId xmlns:a16="http://schemas.microsoft.com/office/drawing/2014/main" id="{00000000-0008-0000-0100-000026000000}"/>
                  </a:ext>
                </a:extLst>
              </xdr:cNvPr>
              <xdr:cNvSpPr/>
            </xdr:nvSpPr>
            <xdr:spPr>
              <a:xfrm>
                <a:off x="12180189" y="1377344"/>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39" name="Flowchart: Connector 38" descr="Decorative circle">
                <a:extLst>
                  <a:ext uri="{FF2B5EF4-FFF2-40B4-BE49-F238E27FC236}">
                    <a16:creationId xmlns:a16="http://schemas.microsoft.com/office/drawing/2014/main" id="{00000000-0008-0000-0100-000027000000}"/>
                  </a:ext>
                </a:extLst>
              </xdr:cNvPr>
              <xdr:cNvSpPr/>
            </xdr:nvSpPr>
            <xdr:spPr>
              <a:xfrm>
                <a:off x="12328779" y="1345339"/>
                <a:ext cx="161925" cy="164592"/>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40" name="Flowchart: Connector 39" descr="Decorative circle">
                <a:extLst>
                  <a:ext uri="{FF2B5EF4-FFF2-40B4-BE49-F238E27FC236}">
                    <a16:creationId xmlns:a16="http://schemas.microsoft.com/office/drawing/2014/main" id="{00000000-0008-0000-0100-000028000000}"/>
                  </a:ext>
                </a:extLst>
              </xdr:cNvPr>
              <xdr:cNvSpPr/>
            </xdr:nvSpPr>
            <xdr:spPr>
              <a:xfrm rot="10800000">
                <a:off x="12687300" y="1394299"/>
                <a:ext cx="64008" cy="66675"/>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sp macro="" textlink="">
            <xdr:nvSpPr>
              <xdr:cNvPr id="41" name="Flowchart: Connector 40" descr="Decorative circle">
                <a:extLst>
                  <a:ext uri="{FF2B5EF4-FFF2-40B4-BE49-F238E27FC236}">
                    <a16:creationId xmlns:a16="http://schemas.microsoft.com/office/drawing/2014/main" id="{00000000-0008-0000-0100-000029000000}"/>
                  </a:ext>
                </a:extLst>
              </xdr:cNvPr>
              <xdr:cNvSpPr/>
            </xdr:nvSpPr>
            <xdr:spPr>
              <a:xfrm rot="10800000">
                <a:off x="12538710" y="1377337"/>
                <a:ext cx="100584" cy="100584"/>
              </a:xfrm>
              <a:prstGeom prst="flowChartConnector">
                <a:avLst/>
              </a:prstGeom>
              <a:solidFill>
                <a:schemeClr val="accent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p>
            </xdr:txBody>
          </xdr:sp>
        </xdr:grpSp>
      </xdr:grpSp>
    </xdr:grpSp>
    <xdr:clientData/>
  </xdr:twoCellAnchor>
</xdr:wsDr>
</file>

<file path=xl/tables/table1.xml><?xml version="1.0" encoding="utf-8"?>
<table xmlns="http://schemas.openxmlformats.org/spreadsheetml/2006/main" id="2" name="RoadmapMilestones" displayName="RoadmapMilestones" ref="B2:E26" totalsRowShown="0">
  <autoFilter ref="B2:E26"/>
  <tableColumns count="4">
    <tableColumn id="4" name="No." dataDxfId="6" dataCellStyle="Comma">
      <calculatedColumnFormula>ROW($A1)</calculatedColumnFormula>
    </tableColumn>
    <tableColumn id="5" name="Position" dataCellStyle="Comma"/>
    <tableColumn id="1" name="Date" dataDxfId="5" dataCellStyle="Date"/>
    <tableColumn id="2" name="Milestone"/>
  </tableColumns>
  <tableStyleInfo name="Product Roadmap table style" showFirstColumn="1" showLastColumn="0" showRowStripes="1" showColumnStripes="0"/>
  <extLst>
    <ext xmlns:x14="http://schemas.microsoft.com/office/spreadsheetml/2009/9/main" uri="{504A1905-F514-4f6f-8877-14C23A59335A}">
      <x14:table altTextSummary="Enter the position for charting a milestone in this table, by using positive or negative whole integers between 1 and 3 to indicate whether the milestone should be above or below the timeline. Enter a date and a corresponding milestone for each position."/>
    </ext>
  </extLst>
</table>
</file>

<file path=xl/tables/table2.xml><?xml version="1.0" encoding="utf-8"?>
<table xmlns="http://schemas.openxmlformats.org/spreadsheetml/2006/main" id="3" name="DynamicChartData" displayName="DynamicChartData" ref="B3:D13" totalsRowShown="0">
  <autoFilter ref="B3:D13">
    <filterColumn colId="0" hiddenButton="1"/>
    <filterColumn colId="1" hiddenButton="1"/>
    <filterColumn colId="2" hiddenButton="1"/>
  </autoFilter>
  <tableColumns count="3">
    <tableColumn id="1" name="Date" dataDxfId="4">
      <calculatedColumnFormula>IFERROR(IF(LEN(Milestones!D3)=0,"",INDEX(RoadmapMilestones[],Milestones!$B3+$B$17,3)),"")</calculatedColumnFormula>
    </tableColumn>
    <tableColumn id="2" name="Events" dataDxfId="3">
      <calculatedColumnFormula>IFERROR(IF(LEN(Milestones!E3)=0,"",INDEX(RoadmapMilestones[],Milestones!$B3+$B$17,4)),"")</calculatedColumnFormula>
    </tableColumn>
    <tableColumn id="3" name="Position" dataDxfId="2">
      <calculatedColumnFormula>IFERROR(INDEX(RoadmapMilestones[],Milestones!$B3+$B$17,2),"")</calculatedColumnFormula>
    </tableColumn>
  </tableColumns>
  <tableStyleInfo name="Product Roadmap table style" showFirstColumn="1" showLastColumn="0" showRowStripes="1" showColumnStripes="0"/>
  <extLst>
    <ext xmlns:x14="http://schemas.microsoft.com/office/spreadsheetml/2009/9/main" uri="{504A1905-F514-4f6f-8877-14C23A59335A}">
      <x14:table altTextSummary="This Dynamic Chart content table is auto-generated from the data entered in the Milestones worksheet. To retain the dynamic capability of the Roadmap chart in the Roadmap worksheet, do not modify or delete anything in this table."/>
    </ext>
  </extLst>
</table>
</file>

<file path=xl/tables/table3.xml><?xml version="1.0" encoding="utf-8"?>
<table xmlns="http://schemas.openxmlformats.org/spreadsheetml/2006/main" id="4" name="ScrollingIncrement" displayName="ScrollingIncrement" ref="B16:B17" totalsRowShown="0" dataDxfId="1">
  <autoFilter ref="B16:B17"/>
  <tableColumns count="1">
    <tableColumn id="1" name="Row Increment" dataDxfId="0"/>
  </tableColumns>
  <tableStyleInfo name="Product Roadmap table style" showFirstColumn="0" showLastColumn="0" showRowStripes="1" showColumnStripes="0"/>
  <extLst>
    <ext xmlns:x14="http://schemas.microsoft.com/office/spreadsheetml/2009/9/main" uri="{504A1905-F514-4f6f-8877-14C23A59335A}">
      <x14:table altTextSummary="The ability to scroll to the Roadmap timeline is done with the help of an incremental value in this table. Updating this value will scroll to the timeline in larger increments. The default value is 0."/>
    </ext>
  </extLst>
</table>
</file>

<file path=xl/theme/theme1.xml><?xml version="1.0" encoding="utf-8"?>
<a:theme xmlns:a="http://schemas.openxmlformats.org/drawingml/2006/main" name="Desert Sunset">
  <a:themeElements>
    <a:clrScheme name="Desert Sunset">
      <a:dk1>
        <a:sysClr val="windowText" lastClr="000000"/>
      </a:dk1>
      <a:lt1>
        <a:sysClr val="window" lastClr="FFFFFF"/>
      </a:lt1>
      <a:dk2>
        <a:srgbClr val="44546A"/>
      </a:dk2>
      <a:lt2>
        <a:srgbClr val="E7E6E6"/>
      </a:lt2>
      <a:accent1>
        <a:srgbClr val="CB4333"/>
      </a:accent1>
      <a:accent2>
        <a:srgbClr val="E96A63"/>
      </a:accent2>
      <a:accent3>
        <a:srgbClr val="F39863"/>
      </a:accent3>
      <a:accent4>
        <a:srgbClr val="FAC76C"/>
      </a:accent4>
      <a:accent5>
        <a:srgbClr val="6A5B96"/>
      </a:accent5>
      <a:accent6>
        <a:srgbClr val="C27D5C"/>
      </a:accent6>
      <a:hlink>
        <a:srgbClr val="E96187"/>
      </a:hlink>
      <a:folHlink>
        <a:srgbClr val="9B86BE"/>
      </a:folHlink>
    </a:clrScheme>
    <a:fontScheme name="Franklin Gothic">
      <a:majorFont>
        <a:latin typeface="Franklin Gothic Medium" panose="020B0603020102020204"/>
        <a:ea typeface=""/>
        <a:cs typeface=""/>
        <a:font script="Jpan" typeface="HG創英角ｺﾞｼｯｸUB"/>
        <a:font script="Hang" typeface="돋움"/>
        <a:font script="Hans" typeface="隶书"/>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ajorFont>
      <a:minorFont>
        <a:latin typeface="Franklin Gothic Book" panose="020B0503020102020204"/>
        <a:ea typeface=""/>
        <a:cs typeface=""/>
        <a:font script="Jpan" typeface="HGｺﾞｼｯｸE"/>
        <a:font script="Hang" typeface="돋움"/>
        <a:font script="Hans" typeface="华文楷体"/>
        <a:font script="Hant" typeface="微軟正黑體"/>
        <a:font script="Arab" typeface="Tahoma"/>
        <a:font script="Hebr" typeface="Aharoni"/>
        <a:font script="Thai" typeface="Lily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pageSetUpPr fitToPage="1"/>
  </sheetPr>
  <dimension ref="A1:E27"/>
  <sheetViews>
    <sheetView showGridLines="0" tabSelected="1" workbookViewId="0"/>
  </sheetViews>
  <sheetFormatPr defaultRowHeight="15.75" x14ac:dyDescent="0.3"/>
  <cols>
    <col min="1" max="1" width="2.33203125" style="16" customWidth="1"/>
    <col min="2" max="2" width="5.21875" hidden="1" customWidth="1"/>
    <col min="3" max="3" width="8.88671875" customWidth="1"/>
    <col min="4" max="4" width="15.5546875" customWidth="1"/>
    <col min="5" max="5" width="30.77734375" customWidth="1"/>
    <col min="7" max="11" width="8"/>
  </cols>
  <sheetData>
    <row r="1" spans="1:5" ht="24" x14ac:dyDescent="0.3">
      <c r="A1" s="16" t="s">
        <v>0</v>
      </c>
      <c r="C1" s="9" t="s">
        <v>5</v>
      </c>
      <c r="D1" s="3"/>
      <c r="E1" s="3"/>
    </row>
    <row r="2" spans="1:5" x14ac:dyDescent="0.3">
      <c r="A2" s="16" t="s">
        <v>1</v>
      </c>
      <c r="B2" s="5" t="s">
        <v>4</v>
      </c>
      <c r="C2" s="5" t="s">
        <v>6</v>
      </c>
      <c r="D2" s="5" t="s">
        <v>8</v>
      </c>
      <c r="E2" s="5" t="s">
        <v>9</v>
      </c>
    </row>
    <row r="3" spans="1:5" x14ac:dyDescent="0.3">
      <c r="A3" s="16" t="s">
        <v>2</v>
      </c>
      <c r="B3" s="12">
        <f>ROW($A1)</f>
        <v>1</v>
      </c>
      <c r="C3" s="12">
        <v>1</v>
      </c>
      <c r="D3" s="14">
        <f ca="1">TODAY()</f>
        <v>43278</v>
      </c>
      <c r="E3" t="s">
        <v>10</v>
      </c>
    </row>
    <row r="4" spans="1:5" ht="31.5" x14ac:dyDescent="0.3">
      <c r="B4" s="12">
        <f t="shared" ref="B4:B26" si="0">ROW($A2)</f>
        <v>2</v>
      </c>
      <c r="C4" s="12">
        <v>-2</v>
      </c>
      <c r="D4" s="14">
        <f ca="1">D3+10</f>
        <v>43288</v>
      </c>
      <c r="E4" s="3" t="s">
        <v>11</v>
      </c>
    </row>
    <row r="5" spans="1:5" ht="47.25" x14ac:dyDescent="0.3">
      <c r="B5" s="12">
        <f t="shared" si="0"/>
        <v>3</v>
      </c>
      <c r="C5" s="12">
        <v>1</v>
      </c>
      <c r="D5" s="14">
        <f ca="1">D4+20</f>
        <v>43308</v>
      </c>
      <c r="E5" s="3" t="s">
        <v>12</v>
      </c>
    </row>
    <row r="6" spans="1:5" x14ac:dyDescent="0.3">
      <c r="B6" s="12">
        <f t="shared" si="0"/>
        <v>4</v>
      </c>
      <c r="C6" s="12">
        <v>-1</v>
      </c>
      <c r="D6" s="14">
        <f ca="1">D5+30</f>
        <v>43338</v>
      </c>
      <c r="E6" t="s">
        <v>13</v>
      </c>
    </row>
    <row r="7" spans="1:5" ht="47.25" x14ac:dyDescent="0.3">
      <c r="B7" s="12">
        <f t="shared" si="0"/>
        <v>5</v>
      </c>
      <c r="C7" s="12">
        <v>-0.5</v>
      </c>
      <c r="D7" s="14">
        <f ca="1">D6+40</f>
        <v>43378</v>
      </c>
      <c r="E7" s="3" t="s">
        <v>14</v>
      </c>
    </row>
    <row r="8" spans="1:5" ht="63" x14ac:dyDescent="0.3">
      <c r="B8" s="12">
        <f t="shared" si="0"/>
        <v>6</v>
      </c>
      <c r="C8" s="12">
        <v>2</v>
      </c>
      <c r="D8" s="14">
        <f ca="1">D7+50</f>
        <v>43428</v>
      </c>
      <c r="E8" s="3" t="s">
        <v>15</v>
      </c>
    </row>
    <row r="9" spans="1:5" x14ac:dyDescent="0.3">
      <c r="B9" s="12">
        <f t="shared" si="0"/>
        <v>7</v>
      </c>
      <c r="C9" s="12">
        <v>0.5</v>
      </c>
      <c r="D9" s="14">
        <f ca="1">D8+60</f>
        <v>43488</v>
      </c>
      <c r="E9" t="s">
        <v>16</v>
      </c>
    </row>
    <row r="10" spans="1:5" x14ac:dyDescent="0.3">
      <c r="B10" s="12">
        <f t="shared" si="0"/>
        <v>8</v>
      </c>
      <c r="C10" s="12">
        <v>-1</v>
      </c>
      <c r="D10" s="14">
        <f ca="1">D9+70</f>
        <v>43558</v>
      </c>
      <c r="E10" t="s">
        <v>17</v>
      </c>
    </row>
    <row r="11" spans="1:5" ht="31.5" x14ac:dyDescent="0.3">
      <c r="B11" s="12">
        <f t="shared" si="0"/>
        <v>9</v>
      </c>
      <c r="C11" s="12">
        <v>0.5</v>
      </c>
      <c r="D11" s="14">
        <f ca="1">D10+80</f>
        <v>43638</v>
      </c>
      <c r="E11" s="3" t="s">
        <v>18</v>
      </c>
    </row>
    <row r="12" spans="1:5" ht="78.75" x14ac:dyDescent="0.3">
      <c r="B12" s="12">
        <f t="shared" si="0"/>
        <v>10</v>
      </c>
      <c r="C12" s="13">
        <v>-2</v>
      </c>
      <c r="D12" s="15">
        <f ca="1">D11+90</f>
        <v>43728</v>
      </c>
      <c r="E12" s="3" t="s">
        <v>19</v>
      </c>
    </row>
    <row r="13" spans="1:5" x14ac:dyDescent="0.3">
      <c r="B13" s="12">
        <f t="shared" si="0"/>
        <v>11</v>
      </c>
      <c r="C13" s="12">
        <v>3</v>
      </c>
      <c r="D13" s="15">
        <f ca="1">D12+100</f>
        <v>43828</v>
      </c>
      <c r="E13" t="s">
        <v>20</v>
      </c>
    </row>
    <row r="14" spans="1:5" x14ac:dyDescent="0.3">
      <c r="B14" s="12">
        <f t="shared" si="0"/>
        <v>12</v>
      </c>
      <c r="C14" s="12">
        <v>-1</v>
      </c>
      <c r="D14" s="15">
        <f ca="1">D13+90</f>
        <v>43918</v>
      </c>
      <c r="E14" t="s">
        <v>21</v>
      </c>
    </row>
    <row r="15" spans="1:5" x14ac:dyDescent="0.3">
      <c r="B15" s="12">
        <f t="shared" si="0"/>
        <v>13</v>
      </c>
      <c r="C15" s="12">
        <v>1</v>
      </c>
      <c r="D15" s="15">
        <f ca="1">D14+80</f>
        <v>43998</v>
      </c>
      <c r="E15" t="s">
        <v>22</v>
      </c>
    </row>
    <row r="16" spans="1:5" x14ac:dyDescent="0.3">
      <c r="B16" s="12">
        <f t="shared" si="0"/>
        <v>14</v>
      </c>
      <c r="C16" s="12">
        <v>1</v>
      </c>
      <c r="D16" s="15">
        <f ca="1">D15+70</f>
        <v>44068</v>
      </c>
      <c r="E16" t="s">
        <v>23</v>
      </c>
    </row>
    <row r="17" spans="1:5" x14ac:dyDescent="0.3">
      <c r="B17" s="12">
        <f t="shared" si="0"/>
        <v>15</v>
      </c>
      <c r="C17" s="12">
        <v>-3</v>
      </c>
      <c r="D17" s="15">
        <f ca="1">D16+60</f>
        <v>44128</v>
      </c>
      <c r="E17" t="s">
        <v>24</v>
      </c>
    </row>
    <row r="18" spans="1:5" x14ac:dyDescent="0.3">
      <c r="B18" s="12">
        <f t="shared" si="0"/>
        <v>16</v>
      </c>
      <c r="C18" s="12">
        <v>-2</v>
      </c>
      <c r="D18" s="15">
        <f ca="1">D17+50</f>
        <v>44178</v>
      </c>
      <c r="E18" t="s">
        <v>25</v>
      </c>
    </row>
    <row r="19" spans="1:5" x14ac:dyDescent="0.3">
      <c r="B19" s="12">
        <f t="shared" si="0"/>
        <v>17</v>
      </c>
      <c r="C19" s="12">
        <v>2</v>
      </c>
      <c r="D19" s="15">
        <f ca="1">D18+40</f>
        <v>44218</v>
      </c>
      <c r="E19" t="s">
        <v>26</v>
      </c>
    </row>
    <row r="20" spans="1:5" x14ac:dyDescent="0.3">
      <c r="B20" s="12">
        <f t="shared" si="0"/>
        <v>18</v>
      </c>
      <c r="C20" s="12">
        <v>-1</v>
      </c>
      <c r="D20" s="15">
        <f ca="1">D19+30</f>
        <v>44248</v>
      </c>
      <c r="E20" t="s">
        <v>24</v>
      </c>
    </row>
    <row r="21" spans="1:5" x14ac:dyDescent="0.3">
      <c r="B21" s="12">
        <f t="shared" si="0"/>
        <v>19</v>
      </c>
      <c r="C21" s="12">
        <v>1</v>
      </c>
      <c r="D21" s="15">
        <f ca="1">D20+20</f>
        <v>44268</v>
      </c>
      <c r="E21" t="s">
        <v>25</v>
      </c>
    </row>
    <row r="22" spans="1:5" x14ac:dyDescent="0.3">
      <c r="B22" s="12">
        <f t="shared" si="0"/>
        <v>20</v>
      </c>
      <c r="C22" s="13">
        <v>-3</v>
      </c>
      <c r="D22" s="15">
        <f ca="1">D21+10</f>
        <v>44278</v>
      </c>
      <c r="E22" t="s">
        <v>26</v>
      </c>
    </row>
    <row r="23" spans="1:5" x14ac:dyDescent="0.3">
      <c r="B23" s="12">
        <f t="shared" si="0"/>
        <v>21</v>
      </c>
      <c r="C23" s="12">
        <v>2</v>
      </c>
      <c r="D23" s="15">
        <f ca="1">D22+20</f>
        <v>44298</v>
      </c>
      <c r="E23" t="s">
        <v>27</v>
      </c>
    </row>
    <row r="24" spans="1:5" x14ac:dyDescent="0.3">
      <c r="B24" s="12">
        <f t="shared" si="0"/>
        <v>22</v>
      </c>
      <c r="C24" s="12">
        <v>1</v>
      </c>
      <c r="D24" s="15">
        <f ca="1">D23+30</f>
        <v>44328</v>
      </c>
      <c r="E24" t="s">
        <v>28</v>
      </c>
    </row>
    <row r="25" spans="1:5" x14ac:dyDescent="0.3">
      <c r="B25" s="12">
        <f t="shared" si="0"/>
        <v>23</v>
      </c>
      <c r="C25" s="12">
        <v>-3</v>
      </c>
      <c r="D25" s="15">
        <f ca="1">D24+40</f>
        <v>44368</v>
      </c>
      <c r="E25" t="s">
        <v>29</v>
      </c>
    </row>
    <row r="26" spans="1:5" x14ac:dyDescent="0.3">
      <c r="B26" s="12">
        <f t="shared" si="0"/>
        <v>24</v>
      </c>
      <c r="C26" s="12">
        <v>-2</v>
      </c>
      <c r="D26" s="15">
        <f ca="1">D25+50</f>
        <v>44418</v>
      </c>
      <c r="E26" t="s">
        <v>30</v>
      </c>
    </row>
    <row r="27" spans="1:5" x14ac:dyDescent="0.3">
      <c r="A27" s="16" t="s">
        <v>3</v>
      </c>
      <c r="C27" s="17" t="s">
        <v>7</v>
      </c>
      <c r="D27" s="17"/>
      <c r="E27" s="17"/>
    </row>
  </sheetData>
  <printOptions horizontalCentered="1"/>
  <pageMargins left="0.7" right="0.7" top="0.75" bottom="0.75" header="0.3" footer="0.3"/>
  <pageSetup paperSize="9" fitToHeight="0" orientation="portrait" horizontalDpi="1200" verticalDpi="1200" r:id="rId1"/>
  <headerFooter differentFirst="1">
    <oddFooter>Page &amp;P of &amp;N</oddFooter>
  </headerFooter>
  <ignoredErrors>
    <ignoredError sqref="D22 D13" formula="1"/>
  </ignoredErrors>
  <tableParts count="1">
    <tablePart r:id="rId2"/>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tabColor theme="8" tint="-0.499984740745262"/>
    <pageSetUpPr fitToPage="1"/>
  </sheetPr>
  <dimension ref="A1:D3"/>
  <sheetViews>
    <sheetView showGridLines="0" workbookViewId="0"/>
  </sheetViews>
  <sheetFormatPr defaultRowHeight="15.75" x14ac:dyDescent="0.3"/>
  <cols>
    <col min="1" max="1" width="2.77734375" style="18" customWidth="1"/>
    <col min="2" max="3" width="40.77734375" style="11" customWidth="1"/>
    <col min="4" max="4" width="55" style="11" customWidth="1"/>
    <col min="5" max="5" width="14.21875" style="11" customWidth="1"/>
    <col min="6" max="16384" width="8.88671875" style="11"/>
  </cols>
  <sheetData>
    <row r="1" spans="1:4" ht="255" customHeight="1" x14ac:dyDescent="0.3">
      <c r="A1" s="18" t="s">
        <v>31</v>
      </c>
    </row>
    <row r="2" spans="1:4" ht="246.75" customHeight="1" x14ac:dyDescent="0.3"/>
    <row r="3" spans="1:4" ht="18" customHeight="1" x14ac:dyDescent="0.3">
      <c r="A3" s="19"/>
      <c r="B3" s="10">
        <f ca="1">'Chart data'!B20</f>
        <v>2018</v>
      </c>
      <c r="C3" s="10" t="str">
        <f ca="1">'Chart data'!B21</f>
        <v/>
      </c>
      <c r="D3" s="10">
        <f ca="1">'Chart data'!B22</f>
        <v>2019</v>
      </c>
    </row>
  </sheetData>
  <printOptions horizontalCentered="1"/>
  <pageMargins left="0.25" right="0.25" top="0.75" bottom="0.75" header="0.3" footer="0.3"/>
  <pageSetup paperSize="9" scale="89" orientation="landscape" horizontalDpi="1200" verticalDpi="1200" r:id="rId1"/>
  <headerFooter differentFirst="1">
    <oddFoote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098" r:id="rId4" name="Scroll Bar 2">
              <controlPr defaultSize="0" autoPict="0" altText="Scrollbar to navigate the roadmap">
                <anchor>
                  <from>
                    <xdr:col>0</xdr:col>
                    <xdr:colOff>9525</xdr:colOff>
                    <xdr:row>2</xdr:row>
                    <xdr:rowOff>209550</xdr:rowOff>
                  </from>
                  <to>
                    <xdr:col>3</xdr:col>
                    <xdr:colOff>4705350</xdr:colOff>
                    <xdr:row>4</xdr:row>
                    <xdr:rowOff>28575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pageSetUpPr fitToPage="1"/>
  </sheetPr>
  <dimension ref="A1:A5"/>
  <sheetViews>
    <sheetView showGridLines="0" workbookViewId="0"/>
  </sheetViews>
  <sheetFormatPr defaultRowHeight="15.75" x14ac:dyDescent="0.3"/>
  <cols>
    <col min="1" max="1" width="78.77734375" customWidth="1"/>
  </cols>
  <sheetData>
    <row r="1" spans="1:1" ht="24" x14ac:dyDescent="0.3">
      <c r="A1" s="1" t="s">
        <v>32</v>
      </c>
    </row>
    <row r="2" spans="1:1" ht="16.5" x14ac:dyDescent="0.3">
      <c r="A2" s="2" t="s">
        <v>33</v>
      </c>
    </row>
    <row r="3" spans="1:1" ht="252" x14ac:dyDescent="0.3">
      <c r="A3" s="3" t="s">
        <v>34</v>
      </c>
    </row>
    <row r="4" spans="1:1" ht="78.75" x14ac:dyDescent="0.3">
      <c r="A4" s="3" t="s">
        <v>35</v>
      </c>
    </row>
    <row r="5" spans="1:1" x14ac:dyDescent="0.3">
      <c r="A5" t="s">
        <v>36</v>
      </c>
    </row>
  </sheetData>
  <printOptions horizontalCentered="1"/>
  <pageMargins left="0.7" right="0.7" top="0.75" bottom="0.75" header="0.3" footer="0.3"/>
  <pageSetup paperSize="9" scale="96" orientation="portrait" horizontalDpi="1200" verticalDpi="1200" r:id="rId1"/>
  <headerFooter differentFirst="1">
    <oddFooter>Page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theme="8" tint="0.79998168889431442"/>
    <pageSetUpPr fitToPage="1"/>
  </sheetPr>
  <dimension ref="A1:D32"/>
  <sheetViews>
    <sheetView showGridLines="0" workbookViewId="0"/>
  </sheetViews>
  <sheetFormatPr defaultRowHeight="15.75" x14ac:dyDescent="0.3"/>
  <cols>
    <col min="1" max="1" width="2.33203125" style="16" customWidth="1"/>
    <col min="2" max="2" width="15.77734375" customWidth="1"/>
    <col min="3" max="3" width="10.88671875" customWidth="1"/>
    <col min="4" max="4" width="9.6640625" customWidth="1"/>
    <col min="6" max="6" width="15.77734375" bestFit="1" customWidth="1"/>
  </cols>
  <sheetData>
    <row r="1" spans="1:4" ht="46.5" customHeight="1" x14ac:dyDescent="0.3">
      <c r="A1" s="16" t="s">
        <v>37</v>
      </c>
      <c r="B1" s="9" t="s">
        <v>43</v>
      </c>
    </row>
    <row r="2" spans="1:4" ht="16.5" x14ac:dyDescent="0.3">
      <c r="A2" s="16" t="s">
        <v>38</v>
      </c>
      <c r="B2" s="4" t="s">
        <v>44</v>
      </c>
    </row>
    <row r="3" spans="1:4" x14ac:dyDescent="0.3">
      <c r="A3" s="16" t="s">
        <v>39</v>
      </c>
      <c r="B3" t="s">
        <v>8</v>
      </c>
      <c r="C3" t="s">
        <v>51</v>
      </c>
      <c r="D3" t="s">
        <v>6</v>
      </c>
    </row>
    <row r="4" spans="1:4" x14ac:dyDescent="0.3">
      <c r="B4" s="20">
        <f ca="1">IFERROR(IF(LEN(Milestones!D3)=0,"",INDEX(RoadmapMilestones[],Milestones!$B3+$B$17,3)),"")</f>
        <v>43278</v>
      </c>
      <c r="C4" s="21" t="str">
        <f>IFERROR(IF(LEN(Milestones!E3)=0,"",INDEX(RoadmapMilestones[],Milestones!$B3+$B$17,4)),"")</f>
        <v>Start</v>
      </c>
      <c r="D4" s="6">
        <f>IFERROR(INDEX(RoadmapMilestones[],Milestones!$B3+$B$17,2),"")</f>
        <v>1</v>
      </c>
    </row>
    <row r="5" spans="1:4" ht="47.25" x14ac:dyDescent="0.3">
      <c r="B5" s="20">
        <f ca="1">IFERROR(IF(LEN(Milestones!D4)=0,"",INDEX(RoadmapMilestones[],Milestones!$B4+$B$17,3)),"")</f>
        <v>43288</v>
      </c>
      <c r="C5" s="21" t="str">
        <f>IFERROR(IF(LEN(Milestones!E4)=0,"",INDEX(RoadmapMilestones[],Milestones!$B4+$B$17,4)),"")</f>
        <v>Problem analysis
activity 1</v>
      </c>
      <c r="D5" s="6">
        <f>IFERROR(INDEX(RoadmapMilestones[],Milestones!$B4+$B$17,2),"")</f>
        <v>-2</v>
      </c>
    </row>
    <row r="6" spans="1:4" ht="62.25" customHeight="1" x14ac:dyDescent="0.3">
      <c r="B6" s="20">
        <f ca="1">IFERROR(IF(LEN(Milestones!D5)=0,"",INDEX(RoadmapMilestones[],Milestones!$B5+$B$17,3)),"")</f>
        <v>43308</v>
      </c>
      <c r="C6" s="21" t="str">
        <f>IFERROR(IF(LEN(Milestones!E5)=0,"",INDEX(RoadmapMilestones[],Milestones!$B5+$B$17,4)),"")</f>
        <v>Develop business case
activity 1
activity 2</v>
      </c>
      <c r="D6" s="6">
        <f>IFERROR(INDEX(RoadmapMilestones[],Milestones!$B5+$B$17,2),"")</f>
        <v>1</v>
      </c>
    </row>
    <row r="7" spans="1:4" ht="31.5" x14ac:dyDescent="0.3">
      <c r="B7" s="20">
        <f ca="1">IFERROR(IF(LEN(Milestones!D6)=0,"",INDEX(RoadmapMilestones[],Milestones!$B6+$B$17,3)),"")</f>
        <v>43338</v>
      </c>
      <c r="C7" s="21" t="str">
        <f>IFERROR(IF(LEN(Milestones!E6)=0,"",INDEX(RoadmapMilestones[],Milestones!$B6+$B$17,4)),"")</f>
        <v>Review presentation</v>
      </c>
      <c r="D7" s="6">
        <f>IFERROR(INDEX(RoadmapMilestones[],Milestones!$B6+$B$17,2),"")</f>
        <v>-1</v>
      </c>
    </row>
    <row r="8" spans="1:4" ht="47.25" x14ac:dyDescent="0.3">
      <c r="B8" s="20">
        <f ca="1">IFERROR(IF(LEN(Milestones!D7)=0,"",INDEX(RoadmapMilestones[],Milestones!$B7+$B$17,3)),"")</f>
        <v>43378</v>
      </c>
      <c r="C8" s="21" t="str">
        <f>IFERROR(IF(LEN(Milestones!E7)=0,"",INDEX(RoadmapMilestones[],Milestones!$B7+$B$17,4)),"")</f>
        <v>Exec kick-off
activity 1
activity 2</v>
      </c>
      <c r="D8" s="6">
        <f>IFERROR(INDEX(RoadmapMilestones[],Milestones!$B7+$B$17,2),"")</f>
        <v>-0.5</v>
      </c>
    </row>
    <row r="9" spans="1:4" ht="78.75" x14ac:dyDescent="0.3">
      <c r="B9" s="20">
        <f ca="1">IFERROR(IF(LEN(Milestones!D8)=0,"",INDEX(RoadmapMilestones[],Milestones!$B8+$B$17,3)),"")</f>
        <v>43428</v>
      </c>
      <c r="C9" s="21" t="str">
        <f>IFERROR(IF(LEN(Milestones!E8)=0,"",INDEX(RoadmapMilestones[],Milestones!$B8+$B$17,4)),"")</f>
        <v>Exec alignment
activity 1
activity 2
activity 3</v>
      </c>
      <c r="D9" s="6">
        <f>IFERROR(INDEX(RoadmapMilestones[],Milestones!$B8+$B$17,2),"")</f>
        <v>2</v>
      </c>
    </row>
    <row r="10" spans="1:4" ht="31.5" x14ac:dyDescent="0.3">
      <c r="B10" s="20">
        <f ca="1">IFERROR(IF(LEN(Milestones!D9)=0,"",INDEX(RoadmapMilestones[],Milestones!$B9+$B$17,3)),"")</f>
        <v>43488</v>
      </c>
      <c r="C10" s="21" t="str">
        <f>IFERROR(IF(LEN(Milestones!E9)=0,"",INDEX(RoadmapMilestones[],Milestones!$B9+$B$17,4)),"")</f>
        <v>Stakeholder buy-in</v>
      </c>
      <c r="D10" s="6">
        <f>IFERROR(INDEX(RoadmapMilestones[],Milestones!$B9+$B$17,2),"")</f>
        <v>0.5</v>
      </c>
    </row>
    <row r="11" spans="1:4" ht="31.5" x14ac:dyDescent="0.3">
      <c r="B11" s="20">
        <f ca="1">IFERROR(IF(LEN(Milestones!D10)=0,"",INDEX(RoadmapMilestones[],Milestones!$B10+$B$17,3)),"")</f>
        <v>43558</v>
      </c>
      <c r="C11" s="21" t="str">
        <f>IFERROR(IF(LEN(Milestones!E10)=0,"",INDEX(RoadmapMilestones[],Milestones!$B10+$B$17,4)),"")</f>
        <v>Resource selection</v>
      </c>
      <c r="D11" s="6">
        <f>IFERROR(INDEX(RoadmapMilestones[],Milestones!$B10+$B$17,2),"")</f>
        <v>-1</v>
      </c>
    </row>
    <row r="12" spans="1:4" ht="31.5" customHeight="1" x14ac:dyDescent="0.3">
      <c r="B12" s="20">
        <f ca="1">IFERROR(IF(LEN(Milestones!D11)=0,"",INDEX(RoadmapMilestones[],Milestones!$B11+$B$17,3)),"")</f>
        <v>43638</v>
      </c>
      <c r="C12" s="21" t="str">
        <f>IFERROR(IF(LEN(Milestones!E11)=0,"",INDEX(RoadmapMilestones[],Milestones!$B11+$B$17,4)),"")</f>
        <v xml:space="preserve">Team creation
activity 1 </v>
      </c>
      <c r="D12" s="6">
        <f>IFERROR(INDEX(RoadmapMilestones[],Milestones!$B11+$B$17,2),"")</f>
        <v>0.5</v>
      </c>
    </row>
    <row r="13" spans="1:4" ht="78.75" x14ac:dyDescent="0.3">
      <c r="B13" s="20">
        <f ca="1">IFERROR(IF(LEN(Milestones!D12)=0,"",INDEX(RoadmapMilestones[],Milestones!$B12+$B$17,3)),"")</f>
        <v>43728</v>
      </c>
      <c r="C13" s="21" t="str">
        <f>IFERROR(IF(LEN(Milestones!E12)=0,"",INDEX(RoadmapMilestones[],Milestones!$B12+$B$17,4)),"")</f>
        <v>Team kick-off
activity 1 
activity 2
activity 3
activity 4</v>
      </c>
      <c r="D13" s="6">
        <f>IFERROR(INDEX(RoadmapMilestones[],Milestones!$B12+$B$17,2),"")</f>
        <v>-2</v>
      </c>
    </row>
    <row r="15" spans="1:4" ht="16.5" x14ac:dyDescent="0.3">
      <c r="A15" s="16" t="s">
        <v>40</v>
      </c>
      <c r="B15" s="4" t="s">
        <v>45</v>
      </c>
    </row>
    <row r="16" spans="1:4" x14ac:dyDescent="0.3">
      <c r="B16" t="s">
        <v>46</v>
      </c>
    </row>
    <row r="17" spans="1:3" x14ac:dyDescent="0.3">
      <c r="B17" s="8">
        <v>0</v>
      </c>
    </row>
    <row r="19" spans="1:3" ht="16.5" x14ac:dyDescent="0.3">
      <c r="A19" s="16" t="s">
        <v>41</v>
      </c>
      <c r="B19" s="4" t="s">
        <v>47</v>
      </c>
    </row>
    <row r="20" spans="1:3" x14ac:dyDescent="0.3">
      <c r="B20">
        <f ca="1">IFERROR(YEAR(B4),"")</f>
        <v>2018</v>
      </c>
      <c r="C20" t="s">
        <v>52</v>
      </c>
    </row>
    <row r="21" spans="1:3" x14ac:dyDescent="0.3">
      <c r="B21" t="str">
        <f ca="1">IFERROR(IF(YEAR($B$9)=$B$20,"",YEAR($B$9)),"")</f>
        <v/>
      </c>
      <c r="C21" t="s">
        <v>53</v>
      </c>
    </row>
    <row r="22" spans="1:3" x14ac:dyDescent="0.3">
      <c r="B22">
        <f ca="1">IFERROR(IF(YEAR($B$13)=$B$20,"",YEAR($B$13)),"")</f>
        <v>2019</v>
      </c>
      <c r="C22" t="s">
        <v>54</v>
      </c>
    </row>
    <row r="24" spans="1:3" ht="16.5" x14ac:dyDescent="0.3">
      <c r="A24" s="16" t="s">
        <v>42</v>
      </c>
      <c r="B24" s="4" t="s">
        <v>48</v>
      </c>
      <c r="C24" s="22">
        <f ca="1">B4</f>
        <v>43278</v>
      </c>
    </row>
    <row r="25" spans="1:3" ht="16.5" x14ac:dyDescent="0.3">
      <c r="B25" s="4" t="s">
        <v>49</v>
      </c>
      <c r="C25" s="22">
        <f ca="1">B9</f>
        <v>43428</v>
      </c>
    </row>
    <row r="26" spans="1:3" ht="16.5" x14ac:dyDescent="0.3">
      <c r="B26" s="7" t="s">
        <v>50</v>
      </c>
      <c r="C26" s="22">
        <f ca="1">B13</f>
        <v>43728</v>
      </c>
    </row>
    <row r="27" spans="1:3" x14ac:dyDescent="0.3">
      <c r="B27" s="22"/>
    </row>
    <row r="28" spans="1:3" x14ac:dyDescent="0.3">
      <c r="B28" s="22"/>
    </row>
    <row r="29" spans="1:3" x14ac:dyDescent="0.3">
      <c r="B29" s="22"/>
    </row>
    <row r="30" spans="1:3" x14ac:dyDescent="0.3">
      <c r="B30" s="22"/>
    </row>
    <row r="31" spans="1:3" x14ac:dyDescent="0.3">
      <c r="B31" s="22"/>
    </row>
    <row r="32" spans="1:3" x14ac:dyDescent="0.3">
      <c r="B32" s="22"/>
    </row>
  </sheetData>
  <printOptions horizontalCentered="1"/>
  <pageMargins left="0.7" right="0.7" top="0.75" bottom="0.75" header="0.3" footer="0.3"/>
  <pageSetup paperSize="9" scale="66" fitToHeight="0" orientation="portrait" horizontalDpi="1200" verticalDpi="1200" r:id="rId1"/>
  <headerFooter differentFirst="1">
    <oddFooter>Page &amp;P of &amp;N</oddFooter>
  </headerFooter>
  <tableParts count="2">
    <tablePart r:id="rId2"/>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Milestones</vt:lpstr>
      <vt:lpstr>Roadmap</vt:lpstr>
      <vt:lpstr>About</vt:lpstr>
      <vt:lpstr>Chart data</vt:lpstr>
      <vt:lpstr>Milestones!Print_Titles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2018-06-27T05:48:35Z</dcterms:created>
  <dcterms:modified xsi:type="dcterms:W3CDTF">2018-06-27T05:48:35Z</dcterms:modified>
</cp:coreProperties>
</file>